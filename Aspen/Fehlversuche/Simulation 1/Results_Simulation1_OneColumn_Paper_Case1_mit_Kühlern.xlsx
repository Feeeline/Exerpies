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n\Documents\Masterthesis\Code\Aspen\Simulationsverlauf\Simulation 1\"/>
    </mc:Choice>
  </mc:AlternateContent>
  <xr:revisionPtr revIDLastSave="0" documentId="13_ncr:1_{C1C5AFF1-EA9F-42B0-BFB5-B828592085D4}" xr6:coauthVersionLast="47" xr6:coauthVersionMax="47" xr10:uidLastSave="{00000000-0000-0000-0000-000000000000}"/>
  <bookViews>
    <workbookView xWindow="28680" yWindow="-120" windowWidth="29040" windowHeight="15720" activeTab="2" xr2:uid="{736789E1-8F30-412F-94C2-3D2ED072F015}"/>
  </bookViews>
  <sheets>
    <sheet name="Ergebnisse" sheetId="3" r:id="rId1"/>
    <sheet name="Tabelle2" sheetId="6" r:id="rId2"/>
    <sheet name="Vergleich mit Pap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4" l="1"/>
  <c r="V19" i="4"/>
  <c r="W19" i="4"/>
  <c r="X19" i="4"/>
  <c r="Y19" i="4"/>
  <c r="Z19" i="4"/>
  <c r="AA19" i="4"/>
  <c r="U20" i="4"/>
  <c r="V20" i="4"/>
  <c r="W20" i="4"/>
  <c r="X20" i="4"/>
  <c r="Y20" i="4"/>
  <c r="Z20" i="4"/>
  <c r="AA20" i="4"/>
  <c r="U21" i="4"/>
  <c r="V21" i="4"/>
  <c r="W21" i="4"/>
  <c r="X21" i="4"/>
  <c r="Y21" i="4"/>
  <c r="Z21" i="4"/>
  <c r="AA21" i="4"/>
  <c r="U22" i="4"/>
  <c r="V22" i="4"/>
  <c r="W22" i="4"/>
  <c r="X22" i="4"/>
  <c r="Y22" i="4"/>
  <c r="Z22" i="4"/>
  <c r="AA22" i="4"/>
  <c r="U23" i="4"/>
  <c r="V23" i="4"/>
  <c r="W23" i="4"/>
  <c r="X23" i="4"/>
  <c r="Y23" i="4"/>
  <c r="Z23" i="4"/>
  <c r="AA23" i="4"/>
  <c r="V18" i="4"/>
  <c r="W18" i="4"/>
  <c r="X18" i="4"/>
  <c r="Y18" i="4"/>
  <c r="Z18" i="4"/>
  <c r="AA18" i="4"/>
  <c r="V2" i="4"/>
  <c r="W2" i="4"/>
  <c r="X2" i="4"/>
  <c r="Y2" i="4"/>
  <c r="Z2" i="4"/>
  <c r="AA2" i="4"/>
  <c r="V3" i="4"/>
  <c r="W3" i="4"/>
  <c r="X3" i="4"/>
  <c r="Y3" i="4"/>
  <c r="Z3" i="4"/>
  <c r="AA3" i="4"/>
  <c r="V4" i="4"/>
  <c r="W4" i="4"/>
  <c r="X4" i="4"/>
  <c r="Y4" i="4"/>
  <c r="Z4" i="4"/>
  <c r="AA4" i="4"/>
  <c r="V5" i="4"/>
  <c r="W5" i="4"/>
  <c r="X5" i="4"/>
  <c r="Y5" i="4"/>
  <c r="Z5" i="4"/>
  <c r="AA5" i="4"/>
  <c r="V6" i="4"/>
  <c r="W6" i="4"/>
  <c r="X6" i="4"/>
  <c r="Y6" i="4"/>
  <c r="Z6" i="4"/>
  <c r="AA6" i="4"/>
  <c r="V7" i="4"/>
  <c r="W7" i="4"/>
  <c r="X7" i="4"/>
  <c r="Y7" i="4"/>
  <c r="Z7" i="4"/>
  <c r="AA7" i="4"/>
  <c r="V8" i="4"/>
  <c r="W8" i="4"/>
  <c r="X8" i="4"/>
  <c r="Y8" i="4"/>
  <c r="Z8" i="4"/>
  <c r="AA8" i="4"/>
  <c r="V9" i="4"/>
  <c r="W9" i="4"/>
  <c r="X9" i="4"/>
  <c r="Y9" i="4"/>
  <c r="Z9" i="4"/>
  <c r="AA9" i="4"/>
  <c r="V10" i="4"/>
  <c r="W10" i="4"/>
  <c r="X10" i="4"/>
  <c r="Y10" i="4"/>
  <c r="Z10" i="4"/>
  <c r="AA10" i="4"/>
  <c r="V11" i="4"/>
  <c r="W11" i="4"/>
  <c r="X11" i="4"/>
  <c r="Y11" i="4"/>
  <c r="Z11" i="4"/>
  <c r="AA11" i="4"/>
  <c r="V12" i="4"/>
  <c r="W12" i="4"/>
  <c r="X12" i="4"/>
  <c r="Y12" i="4"/>
  <c r="Z12" i="4"/>
  <c r="AA12" i="4"/>
  <c r="V13" i="4"/>
  <c r="W13" i="4"/>
  <c r="X13" i="4"/>
  <c r="Y13" i="4"/>
  <c r="Z13" i="4"/>
  <c r="AA13" i="4"/>
  <c r="V14" i="4"/>
  <c r="W14" i="4"/>
  <c r="X14" i="4"/>
  <c r="Y14" i="4"/>
  <c r="Z14" i="4"/>
  <c r="AA14" i="4"/>
  <c r="V15" i="4"/>
  <c r="W15" i="4"/>
  <c r="X15" i="4"/>
  <c r="Y15" i="4"/>
  <c r="Z15" i="4"/>
  <c r="AA15" i="4"/>
  <c r="V16" i="4"/>
  <c r="W16" i="4"/>
  <c r="X16" i="4"/>
  <c r="Y16" i="4"/>
  <c r="Z16" i="4"/>
  <c r="AA16" i="4"/>
  <c r="V17" i="4"/>
  <c r="W17" i="4"/>
  <c r="X17" i="4"/>
  <c r="Y17" i="4"/>
  <c r="Z17" i="4"/>
  <c r="AA17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2" i="4"/>
  <c r="Z24" i="4"/>
  <c r="U24" i="4"/>
  <c r="T24" i="4"/>
  <c r="T25" i="4"/>
  <c r="T26" i="4"/>
</calcChain>
</file>

<file path=xl/sharedStrings.xml><?xml version="1.0" encoding="utf-8"?>
<sst xmlns="http://schemas.openxmlformats.org/spreadsheetml/2006/main" count="190" uniqueCount="54">
  <si>
    <t>Stream Name</t>
  </si>
  <si>
    <t>Temperature</t>
  </si>
  <si>
    <t>Pressure</t>
  </si>
  <si>
    <t>Molar Enthalpy</t>
  </si>
  <si>
    <t>Molar Entropy</t>
  </si>
  <si>
    <t>Mole Flows</t>
  </si>
  <si>
    <t>NITRO-01</t>
  </si>
  <si>
    <t>OXYGE-01</t>
  </si>
  <si>
    <t>Mass Flows</t>
  </si>
  <si>
    <t>Units</t>
  </si>
  <si>
    <t>K</t>
  </si>
  <si>
    <t>N/sqm</t>
  </si>
  <si>
    <t>J/kmol</t>
  </si>
  <si>
    <t>J/kmol-K</t>
  </si>
  <si>
    <t>kmol/sec</t>
  </si>
  <si>
    <t>kg/sec</t>
  </si>
  <si>
    <t>20END</t>
  </si>
  <si>
    <t>S2</t>
  </si>
  <si>
    <t>S3</t>
  </si>
  <si>
    <t>no.</t>
  </si>
  <si>
    <t>flow (N m3)</t>
  </si>
  <si>
    <t>Mole Flows (kmol/sec)</t>
  </si>
  <si>
    <t>temperature (K)</t>
  </si>
  <si>
    <t>pressure (atm)</t>
  </si>
  <si>
    <t>Pressure  (N/sqm)</t>
  </si>
  <si>
    <t>oxygen (mole frac)</t>
  </si>
  <si>
    <t>nitrogen (mole frac)</t>
  </si>
  <si>
    <t>enthalpy (kJ/kmol)</t>
  </si>
  <si>
    <t>Molar Enthalpy (J/kmol)</t>
  </si>
  <si>
    <t>entropy (kJ/kmol·K)</t>
  </si>
  <si>
    <t>Molar Entropy (J/kmol-K)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</si>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</sst>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0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16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left"/>
    </xf>
  </cellXfs>
  <cellStyles count="2">
    <cellStyle name="Prozent" xfId="1" builtinId="5"/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E741-44F1-4137-A3EA-1BDE8D1C50E2}">
  <dimension ref="A1:U27"/>
  <sheetViews>
    <sheetView workbookViewId="0"/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</row>
    <row r="2" spans="1:21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/>
      <c r="H2" s="1"/>
      <c r="J2" t="s">
        <v>31</v>
      </c>
      <c r="K2">
        <v>49996.668391034407</v>
      </c>
      <c r="L2">
        <v>0.61961111099999999</v>
      </c>
      <c r="M2">
        <v>303</v>
      </c>
      <c r="N2">
        <v>1</v>
      </c>
      <c r="O2">
        <v>101325</v>
      </c>
      <c r="P2">
        <v>0.20899999999999999</v>
      </c>
      <c r="Q2">
        <v>0.79100000000000004</v>
      </c>
      <c r="R2">
        <v>133.62015349999999</v>
      </c>
      <c r="S2">
        <v>133620.15349999999</v>
      </c>
      <c r="T2">
        <v>4.7110146450000014</v>
      </c>
      <c r="U2">
        <v>4711.0146450000002</v>
      </c>
    </row>
    <row r="3" spans="1:21" x14ac:dyDescent="0.3">
      <c r="A3" s="1">
        <v>1</v>
      </c>
      <c r="B3" s="1">
        <v>303</v>
      </c>
      <c r="C3" s="1">
        <v>101325</v>
      </c>
      <c r="D3" s="1">
        <v>133620.15348298755</v>
      </c>
      <c r="E3" s="1">
        <v>4711.01464532299</v>
      </c>
      <c r="F3" s="1">
        <v>0.6196111111</v>
      </c>
      <c r="G3" s="1">
        <v>0.79100000000000004</v>
      </c>
      <c r="H3" s="1">
        <v>0.20899999999999999</v>
      </c>
      <c r="J3" t="s">
        <v>32</v>
      </c>
      <c r="K3">
        <v>49996.668391034407</v>
      </c>
      <c r="L3">
        <v>0.61961111099999999</v>
      </c>
      <c r="M3">
        <v>303</v>
      </c>
      <c r="N3">
        <v>2.93</v>
      </c>
      <c r="O3">
        <v>296882.25</v>
      </c>
      <c r="P3">
        <v>0.20899999999999999</v>
      </c>
      <c r="Q3">
        <v>0.79100000000000004</v>
      </c>
      <c r="R3">
        <v>118.4727115</v>
      </c>
      <c r="S3">
        <v>118472.7115</v>
      </c>
      <c r="T3">
        <v>-4.2691007120000002</v>
      </c>
      <c r="U3">
        <v>-4269.1007120000004</v>
      </c>
    </row>
    <row r="4" spans="1:21" x14ac:dyDescent="0.3">
      <c r="A4" s="1">
        <v>2</v>
      </c>
      <c r="B4" s="1">
        <v>303</v>
      </c>
      <c r="C4" s="1">
        <v>296882.25</v>
      </c>
      <c r="D4" s="1">
        <v>118472.71151603812</v>
      </c>
      <c r="E4" s="1">
        <v>-4269.1007117809813</v>
      </c>
      <c r="F4" s="1">
        <v>0.6196111111</v>
      </c>
      <c r="G4" s="1">
        <v>0.79100000000000004</v>
      </c>
      <c r="H4" s="1">
        <v>0.20899999999999999</v>
      </c>
      <c r="J4" t="s">
        <v>33</v>
      </c>
      <c r="K4">
        <v>49996.668391034407</v>
      </c>
      <c r="L4">
        <v>0.61961111099999999</v>
      </c>
      <c r="M4">
        <v>303</v>
      </c>
      <c r="N4">
        <v>3.5979999999999999</v>
      </c>
      <c r="O4">
        <v>364567.35</v>
      </c>
      <c r="P4">
        <v>0.20899999999999999</v>
      </c>
      <c r="Q4">
        <v>0.79100000000000004</v>
      </c>
      <c r="R4">
        <v>113.249532</v>
      </c>
      <c r="S4">
        <v>113249.53200000001</v>
      </c>
      <c r="T4">
        <v>-5.9912238960000002</v>
      </c>
      <c r="U4">
        <v>-5991.2238960000004</v>
      </c>
    </row>
    <row r="5" spans="1:21" x14ac:dyDescent="0.3">
      <c r="A5" s="1">
        <v>3</v>
      </c>
      <c r="B5" s="1">
        <v>303</v>
      </c>
      <c r="C5" s="1">
        <v>364567.35</v>
      </c>
      <c r="D5" s="1">
        <v>113249.53199710818</v>
      </c>
      <c r="E5" s="1">
        <v>-5991.2238961675803</v>
      </c>
      <c r="F5" s="1">
        <v>0.6196111111</v>
      </c>
      <c r="G5" s="1">
        <v>0.79100000000000004</v>
      </c>
      <c r="H5" s="1">
        <v>0.20899999999999999</v>
      </c>
      <c r="J5" t="s">
        <v>34</v>
      </c>
      <c r="K5">
        <v>49996.668391034407</v>
      </c>
      <c r="L5">
        <v>0.61961111099999999</v>
      </c>
      <c r="M5">
        <v>281</v>
      </c>
      <c r="N5">
        <v>3.4980000000000002</v>
      </c>
      <c r="O5">
        <v>354434.85</v>
      </c>
      <c r="P5">
        <v>0.20899999999999999</v>
      </c>
      <c r="Q5">
        <v>0.79100000000000004</v>
      </c>
      <c r="R5">
        <v>-532.05142430000001</v>
      </c>
      <c r="S5">
        <v>-532051.42429999996</v>
      </c>
      <c r="T5">
        <v>-7.968352587</v>
      </c>
      <c r="U5">
        <v>-7968.3525870000003</v>
      </c>
    </row>
    <row r="6" spans="1:21" x14ac:dyDescent="0.3">
      <c r="A6" s="1">
        <v>4</v>
      </c>
      <c r="B6" s="1">
        <v>281</v>
      </c>
      <c r="C6" s="1">
        <v>354434.85</v>
      </c>
      <c r="D6" s="1">
        <v>-532051.42434890429</v>
      </c>
      <c r="E6" s="1">
        <v>-7968.3525869215864</v>
      </c>
      <c r="F6" s="1">
        <v>0.6196111111</v>
      </c>
      <c r="G6" s="1">
        <v>0.79100000000000004</v>
      </c>
      <c r="H6" s="1">
        <v>0.20899999999999999</v>
      </c>
      <c r="J6" t="s">
        <v>35</v>
      </c>
      <c r="K6">
        <v>49996.668391034407</v>
      </c>
      <c r="L6">
        <v>0.61961111099999999</v>
      </c>
      <c r="M6">
        <v>110.9</v>
      </c>
      <c r="N6">
        <v>3.3980000000000001</v>
      </c>
      <c r="O6">
        <v>344302.35</v>
      </c>
      <c r="P6">
        <v>0.20899999999999999</v>
      </c>
      <c r="Q6">
        <v>0.79100000000000004</v>
      </c>
      <c r="R6">
        <v>-5592.8830049999997</v>
      </c>
      <c r="S6">
        <v>-5592883.0049999999</v>
      </c>
      <c r="T6">
        <v>-35.493914109999999</v>
      </c>
      <c r="U6">
        <v>-35493.914109999998</v>
      </c>
    </row>
    <row r="7" spans="1:21" x14ac:dyDescent="0.3">
      <c r="A7" s="1">
        <v>5</v>
      </c>
      <c r="B7" s="1">
        <v>110.9</v>
      </c>
      <c r="C7" s="1">
        <v>344302.35</v>
      </c>
      <c r="D7" s="1">
        <v>-5592883.004681739</v>
      </c>
      <c r="E7" s="1">
        <v>-35493.914106192744</v>
      </c>
      <c r="F7" s="1">
        <v>0.6196111111</v>
      </c>
      <c r="G7" s="1">
        <v>0.79100000000000004</v>
      </c>
      <c r="H7" s="1">
        <v>0.20899999999999999</v>
      </c>
      <c r="J7" t="s">
        <v>36</v>
      </c>
      <c r="K7">
        <v>49996.668391034407</v>
      </c>
      <c r="L7">
        <v>0.61961111099999999</v>
      </c>
      <c r="M7">
        <v>87.21602978</v>
      </c>
      <c r="N7">
        <v>1.3</v>
      </c>
      <c r="O7">
        <v>131722.5</v>
      </c>
      <c r="P7">
        <v>0.20899999999999999</v>
      </c>
      <c r="Q7">
        <v>0.79100000000000004</v>
      </c>
      <c r="R7">
        <v>-6214.663802</v>
      </c>
      <c r="S7">
        <v>-6214663.8020000001</v>
      </c>
      <c r="T7">
        <v>-34.208961960000003</v>
      </c>
      <c r="U7">
        <v>-34208.961960000001</v>
      </c>
    </row>
    <row r="8" spans="1:21" x14ac:dyDescent="0.3">
      <c r="A8" s="1">
        <v>6</v>
      </c>
      <c r="B8" s="1">
        <v>87.216029776547003</v>
      </c>
      <c r="C8" s="1">
        <v>131722.5</v>
      </c>
      <c r="D8" s="1">
        <v>-6214663.8018944273</v>
      </c>
      <c r="E8" s="1">
        <v>-34208.961959085587</v>
      </c>
      <c r="F8" s="1">
        <v>0.6196111111</v>
      </c>
      <c r="G8" s="1">
        <v>0.79100000000000004</v>
      </c>
      <c r="H8" s="1">
        <v>0.20899999999999999</v>
      </c>
      <c r="J8" t="s">
        <v>37</v>
      </c>
      <c r="K8">
        <v>52000.479964137608</v>
      </c>
      <c r="L8">
        <v>0.64444444400000001</v>
      </c>
      <c r="M8">
        <v>79.387953640000006</v>
      </c>
      <c r="N8">
        <v>1.24038</v>
      </c>
      <c r="O8">
        <v>125681.50350000001</v>
      </c>
      <c r="P8">
        <v>1.183365E-3</v>
      </c>
      <c r="Q8">
        <v>0.99881663499999995</v>
      </c>
      <c r="R8">
        <v>-6446.1334749999996</v>
      </c>
      <c r="S8">
        <v>-6446133.4749999996</v>
      </c>
      <c r="T8">
        <v>-40.824459640000001</v>
      </c>
      <c r="U8">
        <v>-40824.459640000001</v>
      </c>
    </row>
    <row r="9" spans="1:21" x14ac:dyDescent="0.3">
      <c r="A9" s="1">
        <v>7</v>
      </c>
      <c r="B9" s="1">
        <v>79.387953635545003</v>
      </c>
      <c r="C9" s="1">
        <v>125681.50350000001</v>
      </c>
      <c r="D9" s="1">
        <v>-6446133.4745422006</v>
      </c>
      <c r="E9" s="1">
        <v>-40824.459636227053</v>
      </c>
      <c r="F9" s="1">
        <v>0.64444444439999971</v>
      </c>
      <c r="G9" s="1">
        <v>0.99881663518085195</v>
      </c>
      <c r="H9" s="1">
        <v>1.1833648191476101E-3</v>
      </c>
      <c r="J9" t="s">
        <v>38</v>
      </c>
      <c r="K9">
        <v>52000.479964137608</v>
      </c>
      <c r="L9">
        <v>0.64444444400000001</v>
      </c>
      <c r="M9">
        <v>92.055402330000007</v>
      </c>
      <c r="N9">
        <v>1.191033836664199</v>
      </c>
      <c r="O9">
        <v>120681.50350000001</v>
      </c>
      <c r="P9">
        <v>1.183365E-3</v>
      </c>
      <c r="Q9">
        <v>0.99881663499999995</v>
      </c>
      <c r="R9">
        <v>-6060.208318</v>
      </c>
      <c r="S9">
        <v>-6060208.318</v>
      </c>
      <c r="T9">
        <v>-35.98889088</v>
      </c>
      <c r="U9">
        <v>-35988.890879999999</v>
      </c>
    </row>
    <row r="10" spans="1:21" x14ac:dyDescent="0.3">
      <c r="A10" s="1">
        <v>8</v>
      </c>
      <c r="B10" s="1">
        <v>92.055402334263505</v>
      </c>
      <c r="C10" s="1">
        <v>120681.50350000001</v>
      </c>
      <c r="D10" s="1">
        <v>-6060208.3184033716</v>
      </c>
      <c r="E10" s="1">
        <v>-35988.890881511164</v>
      </c>
      <c r="F10" s="1">
        <v>0.64444444439999971</v>
      </c>
      <c r="G10" s="1">
        <v>0.99881663518085195</v>
      </c>
      <c r="H10" s="1">
        <v>1.1833648191476101E-3</v>
      </c>
      <c r="J10" t="s">
        <v>39</v>
      </c>
      <c r="K10">
        <v>52000.479964137608</v>
      </c>
      <c r="L10">
        <v>0.64444444400000001</v>
      </c>
      <c r="M10">
        <v>279</v>
      </c>
      <c r="N10">
        <v>1</v>
      </c>
      <c r="O10">
        <v>101325</v>
      </c>
      <c r="P10">
        <v>1.183365E-3</v>
      </c>
      <c r="Q10">
        <v>0.99881663499999995</v>
      </c>
      <c r="R10">
        <v>-566.54202650000002</v>
      </c>
      <c r="S10">
        <v>-566542.02650000004</v>
      </c>
      <c r="T10">
        <v>-1.883342831</v>
      </c>
      <c r="U10">
        <v>-1883.3428309999999</v>
      </c>
    </row>
    <row r="11" spans="1:21" x14ac:dyDescent="0.3">
      <c r="A11" s="1">
        <v>9</v>
      </c>
      <c r="B11" s="1">
        <v>279</v>
      </c>
      <c r="C11" s="1">
        <v>101325</v>
      </c>
      <c r="D11" s="1">
        <v>-566542.02654252108</v>
      </c>
      <c r="E11" s="1">
        <v>-1883.3428314699163</v>
      </c>
      <c r="F11" s="1">
        <v>0.6444444444000007</v>
      </c>
      <c r="G11" s="1">
        <v>0.99881663518085195</v>
      </c>
      <c r="H11" s="1">
        <v>1.1833648191476101E-3</v>
      </c>
      <c r="J11" t="s">
        <v>40</v>
      </c>
      <c r="K11">
        <v>32001.095383034401</v>
      </c>
      <c r="L11">
        <v>0.396591111</v>
      </c>
      <c r="M11">
        <v>279</v>
      </c>
      <c r="N11">
        <v>1</v>
      </c>
      <c r="O11">
        <v>101325</v>
      </c>
      <c r="P11">
        <v>1.183365E-3</v>
      </c>
      <c r="Q11">
        <v>0.99881663499999995</v>
      </c>
      <c r="R11">
        <v>-566.54202650000002</v>
      </c>
      <c r="S11">
        <v>-566542.02650000004</v>
      </c>
      <c r="T11">
        <v>-1.883342831</v>
      </c>
      <c r="U11">
        <v>-1883.3428309999999</v>
      </c>
    </row>
    <row r="12" spans="1:21" x14ac:dyDescent="0.3">
      <c r="A12" s="1">
        <v>10</v>
      </c>
      <c r="B12" s="1">
        <v>279</v>
      </c>
      <c r="C12" s="1">
        <v>101325</v>
      </c>
      <c r="D12" s="1">
        <v>-566542.02654252108</v>
      </c>
      <c r="E12" s="1">
        <v>-1883.3428314699163</v>
      </c>
      <c r="F12" s="1">
        <v>0.39659111108375983</v>
      </c>
      <c r="G12" s="1">
        <v>0.99881663518085195</v>
      </c>
      <c r="H12" s="1">
        <v>1.1833648191476101E-3</v>
      </c>
      <c r="J12" t="s">
        <v>41</v>
      </c>
      <c r="K12">
        <v>19999.384581103201</v>
      </c>
      <c r="L12">
        <v>0.24785333300000001</v>
      </c>
      <c r="M12">
        <v>279</v>
      </c>
      <c r="N12">
        <v>1</v>
      </c>
      <c r="O12">
        <v>101325</v>
      </c>
      <c r="P12">
        <v>1.183365E-3</v>
      </c>
      <c r="Q12">
        <v>0.99881663499999995</v>
      </c>
      <c r="R12">
        <v>-566.54202650000002</v>
      </c>
      <c r="S12">
        <v>-566542.02650000004</v>
      </c>
      <c r="T12">
        <v>-1.883342831</v>
      </c>
      <c r="U12">
        <v>-1883.3428309999999</v>
      </c>
    </row>
    <row r="13" spans="1:21" x14ac:dyDescent="0.3">
      <c r="A13" s="1">
        <v>11</v>
      </c>
      <c r="B13" s="1">
        <v>279</v>
      </c>
      <c r="C13" s="1">
        <v>101325</v>
      </c>
      <c r="D13" s="1">
        <v>-566542.02654252108</v>
      </c>
      <c r="E13" s="1">
        <v>-1883.3428314699163</v>
      </c>
      <c r="F13" s="1">
        <v>0.24785333331623988</v>
      </c>
      <c r="G13" s="1">
        <v>0.99881663518085195</v>
      </c>
      <c r="H13" s="1">
        <v>1.1833648191476101E-3</v>
      </c>
      <c r="J13" t="s">
        <v>42</v>
      </c>
      <c r="K13">
        <v>32001.095383034401</v>
      </c>
      <c r="L13">
        <v>0.396591111</v>
      </c>
      <c r="M13">
        <v>496.58869129999999</v>
      </c>
      <c r="N13">
        <v>5.5</v>
      </c>
      <c r="O13">
        <v>557287.5</v>
      </c>
      <c r="P13">
        <v>1.183365E-3</v>
      </c>
      <c r="Q13">
        <v>0.99881663499999995</v>
      </c>
      <c r="R13">
        <v>5801.6204090000001</v>
      </c>
      <c r="S13">
        <v>5801620.409</v>
      </c>
      <c r="T13">
        <v>0.79937415569999992</v>
      </c>
      <c r="U13">
        <v>799.37415569999996</v>
      </c>
    </row>
    <row r="14" spans="1:21" x14ac:dyDescent="0.3">
      <c r="A14" s="1">
        <v>12</v>
      </c>
      <c r="B14" s="1">
        <v>496.588691341105</v>
      </c>
      <c r="C14" s="1">
        <v>557287.5</v>
      </c>
      <c r="D14" s="1">
        <v>5801620.4086287096</v>
      </c>
      <c r="E14" s="1">
        <v>799.37415569511984</v>
      </c>
      <c r="F14" s="1">
        <v>0.39659111108375983</v>
      </c>
      <c r="G14" s="1">
        <v>0.99881663518085195</v>
      </c>
      <c r="H14" s="1">
        <v>1.1833648191476101E-3</v>
      </c>
      <c r="J14" t="s">
        <v>43</v>
      </c>
      <c r="K14">
        <v>32001.095383034401</v>
      </c>
      <c r="L14">
        <v>0.396591111</v>
      </c>
      <c r="M14">
        <v>243.38592550000001</v>
      </c>
      <c r="N14">
        <v>5.4506538366641992</v>
      </c>
      <c r="O14">
        <v>552287.5</v>
      </c>
      <c r="P14">
        <v>1.183365E-3</v>
      </c>
      <c r="Q14">
        <v>0.99881663499999995</v>
      </c>
      <c r="R14">
        <v>-1656.945271</v>
      </c>
      <c r="S14">
        <v>-1656945.2709999999</v>
      </c>
      <c r="T14">
        <v>-20.129712919999999</v>
      </c>
      <c r="U14">
        <v>-20129.712920000002</v>
      </c>
    </row>
    <row r="15" spans="1:21" x14ac:dyDescent="0.3">
      <c r="A15" s="1">
        <v>13</v>
      </c>
      <c r="B15" s="1">
        <v>243.38592552400399</v>
      </c>
      <c r="C15" s="1">
        <v>552287.5</v>
      </c>
      <c r="D15" s="1">
        <v>-1656945.2712110726</v>
      </c>
      <c r="E15" s="1">
        <v>-20129.712922902159</v>
      </c>
      <c r="F15" s="1">
        <v>0.39659111108375983</v>
      </c>
      <c r="G15" s="1">
        <v>0.99881663518085195</v>
      </c>
      <c r="H15" s="1">
        <v>1.1833648191476101E-3</v>
      </c>
      <c r="J15" t="s">
        <v>44</v>
      </c>
      <c r="K15">
        <v>32001.095383034401</v>
      </c>
      <c r="L15">
        <v>0.396591111</v>
      </c>
      <c r="M15">
        <v>95.409213109999996</v>
      </c>
      <c r="N15">
        <v>5.4506538366641992</v>
      </c>
      <c r="O15">
        <v>552287.5</v>
      </c>
      <c r="P15">
        <v>1.183365E-3</v>
      </c>
      <c r="Q15">
        <v>0.99881663499999995</v>
      </c>
      <c r="R15">
        <v>-11022.78456</v>
      </c>
      <c r="S15">
        <v>-11022784.560000001</v>
      </c>
      <c r="T15">
        <v>-99.735031550000002</v>
      </c>
      <c r="U15">
        <v>-99735.03155</v>
      </c>
    </row>
    <row r="16" spans="1:21" x14ac:dyDescent="0.3">
      <c r="A16" s="1">
        <v>14</v>
      </c>
      <c r="B16" s="1">
        <v>95.409213110702396</v>
      </c>
      <c r="C16" s="1">
        <v>552287.5</v>
      </c>
      <c r="D16" s="1">
        <v>-11022784.558300514</v>
      </c>
      <c r="E16" s="1">
        <v>-99735.031553387162</v>
      </c>
      <c r="F16" s="1">
        <v>0.39659111108375994</v>
      </c>
      <c r="G16" s="1">
        <v>0.99881663518085395</v>
      </c>
      <c r="H16" s="1">
        <v>1.18336481914587E-3</v>
      </c>
      <c r="J16" t="s">
        <v>45</v>
      </c>
      <c r="K16">
        <v>32001.095383034401</v>
      </c>
      <c r="L16">
        <v>0.396591111</v>
      </c>
      <c r="M16">
        <v>81</v>
      </c>
      <c r="N16">
        <v>5.3519615099925977</v>
      </c>
      <c r="O16">
        <v>542287.5</v>
      </c>
      <c r="P16">
        <v>1.183365E-3</v>
      </c>
      <c r="Q16">
        <v>0.99881663499999995</v>
      </c>
      <c r="R16">
        <v>-11876.77188</v>
      </c>
      <c r="S16">
        <v>-11876771.880000001</v>
      </c>
      <c r="T16">
        <v>-109.4170352</v>
      </c>
      <c r="U16">
        <v>-109417.0352</v>
      </c>
    </row>
    <row r="17" spans="1:21" x14ac:dyDescent="0.3">
      <c r="A17" s="1">
        <v>15</v>
      </c>
      <c r="B17" s="1">
        <v>81</v>
      </c>
      <c r="C17" s="1">
        <v>542287.5</v>
      </c>
      <c r="D17" s="1">
        <v>-11876771.876112968</v>
      </c>
      <c r="E17" s="1">
        <v>-109417.03522036015</v>
      </c>
      <c r="F17" s="1">
        <v>0.39659111108375994</v>
      </c>
      <c r="G17" s="1">
        <v>0.99881663518085395</v>
      </c>
      <c r="H17" s="1">
        <v>1.18336481914587E-3</v>
      </c>
      <c r="J17" t="s">
        <v>46</v>
      </c>
      <c r="K17">
        <v>32001.095383034401</v>
      </c>
      <c r="L17">
        <v>0.396591111</v>
      </c>
      <c r="M17">
        <v>80.134870840000005</v>
      </c>
      <c r="N17">
        <v>1.35</v>
      </c>
      <c r="O17">
        <v>136788.75</v>
      </c>
      <c r="P17">
        <v>1.183365E-3</v>
      </c>
      <c r="Q17">
        <v>0.99881663499999995</v>
      </c>
      <c r="R17">
        <v>-11876.77188</v>
      </c>
      <c r="S17">
        <v>-11876771.880000001</v>
      </c>
      <c r="T17">
        <v>-109.25607669999999</v>
      </c>
      <c r="U17">
        <v>-109256.07670000001</v>
      </c>
    </row>
    <row r="18" spans="1:21" x14ac:dyDescent="0.3">
      <c r="A18" s="1">
        <v>16</v>
      </c>
      <c r="B18" s="1">
        <v>80.134870843915294</v>
      </c>
      <c r="C18" s="1">
        <v>136788.75</v>
      </c>
      <c r="D18" s="1">
        <v>-11876771.876112968</v>
      </c>
      <c r="E18" s="1">
        <v>-109256.07667270709</v>
      </c>
      <c r="F18" s="1">
        <v>0.39659111108375994</v>
      </c>
      <c r="G18" s="1">
        <v>0.99881663518085395</v>
      </c>
      <c r="H18" s="1">
        <v>1.18336481914587E-3</v>
      </c>
      <c r="J18" t="s">
        <v>47</v>
      </c>
      <c r="K18">
        <v>19997.770773103199</v>
      </c>
      <c r="L18">
        <v>0.24783333299999999</v>
      </c>
      <c r="M18">
        <v>80.144147669999995</v>
      </c>
      <c r="N18">
        <v>1.2529315785837649</v>
      </c>
      <c r="O18">
        <v>126953.2922</v>
      </c>
      <c r="P18">
        <v>3.0365073999999999E-2</v>
      </c>
      <c r="Q18">
        <v>0.96963492600000001</v>
      </c>
      <c r="R18">
        <v>-6424.2824330000003</v>
      </c>
      <c r="S18">
        <v>-6424282.4330000002</v>
      </c>
      <c r="T18">
        <v>-39.572265489999999</v>
      </c>
      <c r="U18">
        <v>-39572.265489999998</v>
      </c>
    </row>
    <row r="19" spans="1:21" x14ac:dyDescent="0.3">
      <c r="A19" s="1">
        <v>17</v>
      </c>
      <c r="B19" s="1">
        <v>80.1441476729497</v>
      </c>
      <c r="C19" s="1">
        <v>126953.292236842</v>
      </c>
      <c r="D19" s="1">
        <v>-6424282.4325460345</v>
      </c>
      <c r="E19" s="1">
        <v>-39572.265493089173</v>
      </c>
      <c r="F19" s="1">
        <v>0.24783333330000007</v>
      </c>
      <c r="G19" s="1">
        <v>0.96963492601625301</v>
      </c>
      <c r="H19" s="1">
        <v>3.0365073983747201E-2</v>
      </c>
      <c r="J19" t="s">
        <v>48</v>
      </c>
      <c r="K19">
        <v>19997.770773103199</v>
      </c>
      <c r="L19">
        <v>0.24783333299999999</v>
      </c>
      <c r="M19">
        <v>92.055402330000007</v>
      </c>
      <c r="N19">
        <v>1.2035854152479639</v>
      </c>
      <c r="O19">
        <v>121953.2922</v>
      </c>
      <c r="P19">
        <v>3.0365073999999999E-2</v>
      </c>
      <c r="Q19">
        <v>0.96963492600000001</v>
      </c>
      <c r="R19">
        <v>-6061.2301539999999</v>
      </c>
      <c r="S19">
        <v>-6061230.1540000001</v>
      </c>
      <c r="T19">
        <v>-35.027090579999999</v>
      </c>
      <c r="U19">
        <v>-35027.090579999996</v>
      </c>
    </row>
    <row r="20" spans="1:21" x14ac:dyDescent="0.3">
      <c r="A20" s="1">
        <v>18</v>
      </c>
      <c r="B20" s="1">
        <v>92.055402334263505</v>
      </c>
      <c r="C20" s="1">
        <v>121953.292236842</v>
      </c>
      <c r="D20" s="1">
        <v>-6061230.1538361385</v>
      </c>
      <c r="E20" s="1">
        <v>-35027.0905806308</v>
      </c>
      <c r="F20" s="1">
        <v>0.24783333329999993</v>
      </c>
      <c r="G20" s="1">
        <v>0.96963492601625301</v>
      </c>
      <c r="H20" s="1">
        <v>3.0365073983746601E-2</v>
      </c>
      <c r="J20" t="s">
        <v>49</v>
      </c>
      <c r="K20">
        <v>19997.770773103199</v>
      </c>
      <c r="L20">
        <v>0.24783333299999999</v>
      </c>
      <c r="M20">
        <v>279</v>
      </c>
      <c r="N20">
        <v>1.154239251912164</v>
      </c>
      <c r="O20">
        <v>116953.2922</v>
      </c>
      <c r="P20">
        <v>3.0365073999999999E-2</v>
      </c>
      <c r="Q20">
        <v>0.96963492600000001</v>
      </c>
      <c r="R20">
        <v>-568.07944220000002</v>
      </c>
      <c r="S20">
        <v>-568079.44220000005</v>
      </c>
      <c r="T20">
        <v>-2.0257669200000001</v>
      </c>
      <c r="U20">
        <v>-2025.76692</v>
      </c>
    </row>
    <row r="21" spans="1:21" x14ac:dyDescent="0.3">
      <c r="A21" s="1">
        <v>19</v>
      </c>
      <c r="B21" s="1">
        <v>279</v>
      </c>
      <c r="C21" s="1">
        <v>116953.292236842</v>
      </c>
      <c r="D21" s="1">
        <v>-568079.44222843798</v>
      </c>
      <c r="E21" s="1">
        <v>-2025.7669198735414</v>
      </c>
      <c r="F21" s="1">
        <v>0.24783333329999993</v>
      </c>
      <c r="G21" s="1">
        <v>0.96963492601625301</v>
      </c>
      <c r="H21" s="1">
        <v>3.0365073983746601E-2</v>
      </c>
      <c r="J21" t="s">
        <v>50</v>
      </c>
      <c r="K21">
        <v>9999.5129561375998</v>
      </c>
      <c r="L21">
        <v>0.12392444399999999</v>
      </c>
      <c r="M21">
        <v>92.361862160000001</v>
      </c>
      <c r="N21">
        <v>1.33908</v>
      </c>
      <c r="O21">
        <v>135682.28099999999</v>
      </c>
      <c r="P21">
        <v>0.98188815200000001</v>
      </c>
      <c r="Q21">
        <v>1.8111848E-2</v>
      </c>
      <c r="R21">
        <v>-12727.1013</v>
      </c>
      <c r="S21">
        <v>-12727101.300000001</v>
      </c>
      <c r="T21">
        <v>-108.1520184</v>
      </c>
      <c r="U21">
        <v>-108152.0184</v>
      </c>
    </row>
    <row r="22" spans="1:21" x14ac:dyDescent="0.3">
      <c r="A22" s="1">
        <v>20</v>
      </c>
      <c r="B22" s="1">
        <v>92.3618621571771</v>
      </c>
      <c r="C22" s="1">
        <v>135682.28099999999</v>
      </c>
      <c r="D22" s="1">
        <v>-12727101.301476266</v>
      </c>
      <c r="E22" s="1">
        <v>-108152.01841788992</v>
      </c>
      <c r="F22" s="1">
        <v>0.12392444448376094</v>
      </c>
      <c r="G22" s="1">
        <v>1.81118478235636E-2</v>
      </c>
      <c r="H22" s="1">
        <v>0.98188815217643599</v>
      </c>
      <c r="J22" t="s">
        <v>16</v>
      </c>
      <c r="K22">
        <v>2084.9984611343998</v>
      </c>
      <c r="L22">
        <v>2.5839485999999998E-2</v>
      </c>
      <c r="M22">
        <v>92.361862160000001</v>
      </c>
      <c r="N22">
        <v>1.33908</v>
      </c>
      <c r="O22">
        <v>135682.28099999999</v>
      </c>
      <c r="P22">
        <v>0.98188815200000001</v>
      </c>
      <c r="Q22">
        <v>1.8111848E-2</v>
      </c>
      <c r="R22">
        <v>-12727.1013</v>
      </c>
      <c r="S22">
        <v>-12727101.300000001</v>
      </c>
      <c r="T22">
        <v>-108.1520184</v>
      </c>
      <c r="U22">
        <v>-108152.0184</v>
      </c>
    </row>
    <row r="23" spans="1:21" x14ac:dyDescent="0.3">
      <c r="A23" s="1" t="s">
        <v>16</v>
      </c>
      <c r="B23" s="1">
        <v>92.3618621571771</v>
      </c>
      <c r="C23" s="1">
        <v>135682.28099999999</v>
      </c>
      <c r="D23" s="1">
        <v>-12727101.301476266</v>
      </c>
      <c r="E23" s="1">
        <v>-108152.01841788992</v>
      </c>
      <c r="F23" s="1">
        <v>2.5839485919308888E-2</v>
      </c>
      <c r="G23" s="1">
        <v>1.81118478235636E-2</v>
      </c>
      <c r="H23" s="1">
        <v>0.98188815217643599</v>
      </c>
      <c r="J23" t="s">
        <v>51</v>
      </c>
      <c r="K23">
        <v>7914.5145756936008</v>
      </c>
      <c r="L23">
        <v>9.8084958999999999E-2</v>
      </c>
      <c r="M23">
        <v>92.361862160000001</v>
      </c>
      <c r="N23">
        <v>1.33908</v>
      </c>
      <c r="O23">
        <v>135682.28099999999</v>
      </c>
      <c r="P23">
        <v>0.98188815200000001</v>
      </c>
      <c r="Q23">
        <v>1.8111848E-2</v>
      </c>
      <c r="R23">
        <v>-12727.1013</v>
      </c>
      <c r="S23">
        <v>-12727101.300000001</v>
      </c>
      <c r="T23">
        <v>-108.1520184</v>
      </c>
      <c r="U23">
        <v>-108152.0184</v>
      </c>
    </row>
    <row r="24" spans="1:21" x14ac:dyDescent="0.3">
      <c r="A24" s="1">
        <v>21</v>
      </c>
      <c r="B24" s="1">
        <v>92.3618621571771</v>
      </c>
      <c r="C24" s="1">
        <v>135682.28099999999</v>
      </c>
      <c r="D24" s="1">
        <v>-12727101.301476266</v>
      </c>
      <c r="E24" s="1">
        <v>-108152.01841788992</v>
      </c>
      <c r="F24" s="1">
        <v>9.8084958564452054E-2</v>
      </c>
      <c r="G24" s="1">
        <v>1.81118478235636E-2</v>
      </c>
      <c r="H24" s="1">
        <v>0.98188815217643599</v>
      </c>
      <c r="J24" t="s">
        <v>52</v>
      </c>
      <c r="K24">
        <v>7914.5145756936008</v>
      </c>
      <c r="L24">
        <v>9.8084958999999999E-2</v>
      </c>
      <c r="M24">
        <v>279</v>
      </c>
      <c r="N24">
        <v>1.2403876733283989</v>
      </c>
      <c r="O24">
        <v>125682.281</v>
      </c>
      <c r="P24">
        <v>0.98188815200000001</v>
      </c>
      <c r="Q24">
        <v>1.8111848E-2</v>
      </c>
      <c r="R24">
        <v>-574.37397479999993</v>
      </c>
      <c r="S24">
        <v>-574373.97479999997</v>
      </c>
      <c r="T24">
        <v>-3.0180018670000002</v>
      </c>
      <c r="U24">
        <v>-3018.0018669999999</v>
      </c>
    </row>
    <row r="25" spans="1:21" x14ac:dyDescent="0.3">
      <c r="A25" s="1">
        <v>22</v>
      </c>
      <c r="B25" s="1">
        <v>279</v>
      </c>
      <c r="C25" s="1">
        <v>125682.281</v>
      </c>
      <c r="D25" s="1">
        <v>-574373.97477493854</v>
      </c>
      <c r="E25" s="1">
        <v>-3018.0018668656226</v>
      </c>
      <c r="F25" s="1">
        <v>9.8084958564452054E-2</v>
      </c>
      <c r="G25" s="1">
        <v>1.81118478235636E-2</v>
      </c>
      <c r="H25" s="1">
        <v>0.98188815217643599</v>
      </c>
      <c r="J25" t="s">
        <v>17</v>
      </c>
      <c r="K25">
        <v>49996.668391034407</v>
      </c>
      <c r="L25">
        <v>0.61961111099999999</v>
      </c>
      <c r="M25">
        <v>437.97501999999997</v>
      </c>
      <c r="N25">
        <v>2.93</v>
      </c>
      <c r="O25">
        <v>296882.25</v>
      </c>
      <c r="P25">
        <v>0.20899999999999999</v>
      </c>
      <c r="Q25">
        <v>0.79100000000000004</v>
      </c>
      <c r="R25">
        <v>4093.1180760000002</v>
      </c>
      <c r="S25">
        <v>4093118.0759999999</v>
      </c>
      <c r="T25">
        <v>6.576667423</v>
      </c>
      <c r="U25">
        <v>6576.6674229999999</v>
      </c>
    </row>
    <row r="26" spans="1:21" x14ac:dyDescent="0.3">
      <c r="A26" s="1" t="s">
        <v>17</v>
      </c>
      <c r="B26" s="1">
        <v>437.97501999959201</v>
      </c>
      <c r="C26" s="1">
        <v>296882.25</v>
      </c>
      <c r="D26" s="1">
        <v>4093118.0758421887</v>
      </c>
      <c r="E26" s="1">
        <v>6576.6674225962779</v>
      </c>
      <c r="F26" s="1">
        <v>0.6196111111</v>
      </c>
      <c r="G26" s="1">
        <v>0.79100000000000004</v>
      </c>
      <c r="H26" s="1">
        <v>0.20899999999999999</v>
      </c>
      <c r="J26" t="s">
        <v>18</v>
      </c>
      <c r="K26">
        <v>49996.668391034407</v>
      </c>
      <c r="L26">
        <v>0.61961111099999999</v>
      </c>
      <c r="M26">
        <v>328.63181680000002</v>
      </c>
      <c r="N26">
        <v>3.5979999999999999</v>
      </c>
      <c r="O26">
        <v>364567.35</v>
      </c>
      <c r="P26">
        <v>0.20899999999999999</v>
      </c>
      <c r="Q26">
        <v>0.79100000000000004</v>
      </c>
      <c r="R26">
        <v>866.17857590000006</v>
      </c>
      <c r="S26">
        <v>866178.57590000005</v>
      </c>
      <c r="T26">
        <v>-3.6058447760000001</v>
      </c>
      <c r="U26">
        <v>-3605.8447759999999</v>
      </c>
    </row>
    <row r="27" spans="1:21" x14ac:dyDescent="0.3">
      <c r="A27" s="1" t="s">
        <v>18</v>
      </c>
      <c r="B27" s="1">
        <v>328.63181677827703</v>
      </c>
      <c r="C27" s="1">
        <v>364567.35</v>
      </c>
      <c r="D27" s="1">
        <v>866178.57586762379</v>
      </c>
      <c r="E27" s="1">
        <v>-3605.8447764616212</v>
      </c>
      <c r="F27" s="1">
        <v>0.6196111111</v>
      </c>
      <c r="G27" s="1">
        <v>0.79100000000000004</v>
      </c>
      <c r="H27" s="1">
        <v>0.20899999999999999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6502-E81C-4C93-A6D8-D2BC59A32766}">
  <dimension ref="A1:AB84"/>
  <sheetViews>
    <sheetView topLeftCell="J46" workbookViewId="0">
      <selection activeCell="N58" sqref="N58:U84"/>
    </sheetView>
  </sheetViews>
  <sheetFormatPr baseColWidth="10" defaultRowHeight="14.4" x14ac:dyDescent="0.3"/>
  <sheetData>
    <row r="1" spans="1:28" x14ac:dyDescent="0.3">
      <c r="A1" s="6" t="s">
        <v>0</v>
      </c>
      <c r="B1" s="6" t="s">
        <v>9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 t="s">
        <v>16</v>
      </c>
      <c r="X1" s="6">
        <v>21</v>
      </c>
      <c r="Y1" s="6">
        <v>22</v>
      </c>
      <c r="Z1" s="6" t="s">
        <v>17</v>
      </c>
      <c r="AA1" s="6" t="s">
        <v>18</v>
      </c>
      <c r="AB1" s="6" t="s">
        <v>53</v>
      </c>
    </row>
    <row r="2" spans="1:28" x14ac:dyDescent="0.3">
      <c r="A2" s="6" t="s">
        <v>1</v>
      </c>
      <c r="B2" s="6" t="s">
        <v>10</v>
      </c>
      <c r="C2" s="6">
        <v>303</v>
      </c>
      <c r="D2" s="6">
        <v>303</v>
      </c>
      <c r="E2" s="6">
        <v>303</v>
      </c>
      <c r="F2" s="6">
        <v>281</v>
      </c>
      <c r="G2" s="6">
        <v>110.9</v>
      </c>
      <c r="H2" s="6">
        <v>87.216029776547103</v>
      </c>
      <c r="I2" s="6">
        <v>79.387953635545202</v>
      </c>
      <c r="J2" s="6">
        <v>92.055402334264301</v>
      </c>
      <c r="K2" s="6">
        <v>279</v>
      </c>
      <c r="L2" s="6">
        <v>279</v>
      </c>
      <c r="M2" s="6">
        <v>279</v>
      </c>
      <c r="N2" s="6">
        <v>303</v>
      </c>
      <c r="O2" s="6">
        <v>95.417772608960803</v>
      </c>
      <c r="P2" s="6">
        <v>95.409213110703007</v>
      </c>
      <c r="Q2" s="6">
        <v>81</v>
      </c>
      <c r="R2" s="6">
        <v>79.437431681173805</v>
      </c>
      <c r="S2" s="6">
        <v>80.144147672950595</v>
      </c>
      <c r="T2" s="6">
        <v>92.055402334264301</v>
      </c>
      <c r="U2" s="6">
        <v>279</v>
      </c>
      <c r="V2" s="6">
        <v>92.361862157175196</v>
      </c>
      <c r="W2" s="6">
        <v>92.361862157175196</v>
      </c>
      <c r="X2" s="6">
        <v>92.361862157175196</v>
      </c>
      <c r="Y2" s="6">
        <v>279</v>
      </c>
      <c r="Z2" s="6">
        <v>437.97501999959201</v>
      </c>
      <c r="AA2" s="6">
        <v>328.63181677827703</v>
      </c>
      <c r="AB2" s="6">
        <v>529.82501229797799</v>
      </c>
    </row>
    <row r="3" spans="1:28" x14ac:dyDescent="0.3">
      <c r="A3" s="6" t="s">
        <v>2</v>
      </c>
      <c r="B3" s="6" t="s">
        <v>11</v>
      </c>
      <c r="C3" s="6">
        <v>101325</v>
      </c>
      <c r="D3" s="6">
        <v>296882.25</v>
      </c>
      <c r="E3" s="6">
        <v>364567.35</v>
      </c>
      <c r="F3" s="6">
        <v>354434.85</v>
      </c>
      <c r="G3" s="6">
        <v>344302.35</v>
      </c>
      <c r="H3" s="6">
        <v>131722.5</v>
      </c>
      <c r="I3" s="6">
        <v>125681.50350000001</v>
      </c>
      <c r="J3" s="6">
        <v>120681.50350000001</v>
      </c>
      <c r="K3" s="6">
        <v>109431</v>
      </c>
      <c r="L3" s="6">
        <v>109431</v>
      </c>
      <c r="M3" s="6">
        <v>109431</v>
      </c>
      <c r="N3" s="6">
        <v>557287.5</v>
      </c>
      <c r="O3" s="6">
        <v>552287.5</v>
      </c>
      <c r="P3" s="6">
        <v>552287.5</v>
      </c>
      <c r="Q3" s="6">
        <v>542287.5</v>
      </c>
      <c r="R3" s="6">
        <v>126656.25</v>
      </c>
      <c r="S3" s="6">
        <v>126953.292236842</v>
      </c>
      <c r="T3" s="6">
        <v>121953.292236842</v>
      </c>
      <c r="U3" s="6">
        <v>116953.292236842</v>
      </c>
      <c r="V3" s="6">
        <v>135682.28099999999</v>
      </c>
      <c r="W3" s="6">
        <v>135682.28099999999</v>
      </c>
      <c r="X3" s="6">
        <v>135682.28099999999</v>
      </c>
      <c r="Y3" s="6">
        <v>125682.281</v>
      </c>
      <c r="Z3" s="6">
        <v>296882.25</v>
      </c>
      <c r="AA3" s="6">
        <v>364567.35</v>
      </c>
      <c r="AB3" s="6">
        <v>557287.5</v>
      </c>
    </row>
    <row r="4" spans="1:28" x14ac:dyDescent="0.3">
      <c r="A4" s="6" t="s">
        <v>3</v>
      </c>
      <c r="B4" s="6" t="s">
        <v>12</v>
      </c>
      <c r="C4" s="6">
        <v>133620.15348298755</v>
      </c>
      <c r="D4" s="6">
        <v>118472.71151603783</v>
      </c>
      <c r="E4" s="6">
        <v>113249.53199710818</v>
      </c>
      <c r="F4" s="6">
        <v>-532051.42434890429</v>
      </c>
      <c r="G4" s="6">
        <v>-5592883.004681739</v>
      </c>
      <c r="H4" s="6">
        <v>-6214663.8018944273</v>
      </c>
      <c r="I4" s="6">
        <v>-6446133.474542195</v>
      </c>
      <c r="J4" s="6">
        <v>-6060208.3184033651</v>
      </c>
      <c r="K4" s="6">
        <v>-567249.54964186111</v>
      </c>
      <c r="L4" s="6">
        <v>-567249.54964186111</v>
      </c>
      <c r="M4" s="6">
        <v>-567249.54964186111</v>
      </c>
      <c r="N4" s="6">
        <v>100498.61957179217</v>
      </c>
      <c r="O4" s="6">
        <v>-7356917.3639739463</v>
      </c>
      <c r="P4" s="6">
        <v>-11022784.558300525</v>
      </c>
      <c r="Q4" s="6">
        <v>-11876771.876113009</v>
      </c>
      <c r="R4" s="6">
        <v>-11876771.876113009</v>
      </c>
      <c r="S4" s="6">
        <v>-6424282.4325460233</v>
      </c>
      <c r="T4" s="6">
        <v>-6061230.1538361246</v>
      </c>
      <c r="U4" s="6">
        <v>-568079.44222843915</v>
      </c>
      <c r="V4" s="6">
        <v>-12727101.301476242</v>
      </c>
      <c r="W4" s="6">
        <v>-12727101.301476242</v>
      </c>
      <c r="X4" s="6">
        <v>-12727101.301476242</v>
      </c>
      <c r="Y4" s="6">
        <v>-574373.97477493947</v>
      </c>
      <c r="Z4" s="6">
        <v>4093118.0758422171</v>
      </c>
      <c r="AA4" s="6">
        <v>866178.57586761529</v>
      </c>
      <c r="AB4" s="6">
        <v>6789654.741651102</v>
      </c>
    </row>
    <row r="5" spans="1:28" x14ac:dyDescent="0.3">
      <c r="A5" s="6" t="s">
        <v>4</v>
      </c>
      <c r="B5" s="6" t="s">
        <v>13</v>
      </c>
      <c r="C5" s="6">
        <v>4711.01464532299</v>
      </c>
      <c r="D5" s="6">
        <v>-4269.1007117809813</v>
      </c>
      <c r="E5" s="6">
        <v>-5991.2238961675803</v>
      </c>
      <c r="F5" s="6">
        <v>-7968.3525869215864</v>
      </c>
      <c r="G5" s="6">
        <v>-35493.914106192744</v>
      </c>
      <c r="H5" s="6">
        <v>-34208.961959085587</v>
      </c>
      <c r="I5" s="6">
        <v>-40824.459636226915</v>
      </c>
      <c r="J5" s="6">
        <v>-35988.890868613395</v>
      </c>
      <c r="K5" s="6">
        <v>-2525.3184808087144</v>
      </c>
      <c r="L5" s="6">
        <v>-2525.3184808087144</v>
      </c>
      <c r="M5" s="6">
        <v>-2525.3184808087144</v>
      </c>
      <c r="N5" s="6">
        <v>-13744.999068681434</v>
      </c>
      <c r="O5" s="6">
        <v>-61313.835351335139</v>
      </c>
      <c r="P5" s="6">
        <v>-99735.031553386405</v>
      </c>
      <c r="Q5" s="6">
        <v>-109417.0352203597</v>
      </c>
      <c r="R5" s="6">
        <v>-109244.03737759919</v>
      </c>
      <c r="S5" s="6">
        <v>-39572.265493087762</v>
      </c>
      <c r="T5" s="6">
        <v>-35027.090105565483</v>
      </c>
      <c r="U5" s="6">
        <v>-2025.7669198723543</v>
      </c>
      <c r="V5" s="6">
        <v>-108152.01841788858</v>
      </c>
      <c r="W5" s="6">
        <v>-108152.01841788858</v>
      </c>
      <c r="X5" s="6">
        <v>-108152.01841788858</v>
      </c>
      <c r="Y5" s="6">
        <v>-3018.0018668634771</v>
      </c>
      <c r="Z5" s="6">
        <v>6576.667422596307</v>
      </c>
      <c r="AA5" s="6">
        <v>-3605.8447764616503</v>
      </c>
      <c r="AB5" s="6">
        <v>2725.2147794137445</v>
      </c>
    </row>
    <row r="6" spans="1:28" x14ac:dyDescent="0.3">
      <c r="A6" s="6" t="s">
        <v>5</v>
      </c>
      <c r="B6" s="6" t="s">
        <v>14</v>
      </c>
      <c r="C6" s="6">
        <v>0.6196111111</v>
      </c>
      <c r="D6" s="6">
        <v>0.6196111111</v>
      </c>
      <c r="E6" s="6">
        <v>0.6196111111</v>
      </c>
      <c r="F6" s="6">
        <v>0.6196111111</v>
      </c>
      <c r="G6" s="6">
        <v>0.6196111111</v>
      </c>
      <c r="H6" s="6">
        <v>0.6196111111</v>
      </c>
      <c r="I6" s="6">
        <v>0.64444444439999982</v>
      </c>
      <c r="J6" s="6">
        <v>0.64444444439999982</v>
      </c>
      <c r="K6" s="6">
        <v>0.64444444439999982</v>
      </c>
      <c r="L6" s="6">
        <v>0.39659111108375983</v>
      </c>
      <c r="M6" s="6">
        <v>0.2478533333162399</v>
      </c>
      <c r="N6" s="6">
        <v>0.39659111108375983</v>
      </c>
      <c r="O6" s="6">
        <v>0.39659111108375983</v>
      </c>
      <c r="P6" s="6">
        <v>0.39659111108375994</v>
      </c>
      <c r="Q6" s="6">
        <v>0.39659111108375994</v>
      </c>
      <c r="R6" s="6">
        <v>0.39659111108375994</v>
      </c>
      <c r="S6" s="6">
        <v>0.24783333329999996</v>
      </c>
      <c r="T6" s="6">
        <v>0.24783333330000001</v>
      </c>
      <c r="U6" s="6">
        <v>0.24783333330000001</v>
      </c>
      <c r="V6" s="6">
        <v>0.12392444448376003</v>
      </c>
      <c r="W6" s="6">
        <v>2.5839485919308704E-2</v>
      </c>
      <c r="X6" s="6">
        <v>9.8084958564451319E-2</v>
      </c>
      <c r="Y6" s="6">
        <v>9.8084958564451319E-2</v>
      </c>
      <c r="Z6" s="6">
        <v>0.6196111111</v>
      </c>
      <c r="AA6" s="6">
        <v>0.6196111111</v>
      </c>
      <c r="AB6" s="6">
        <v>0.39659111108375983</v>
      </c>
    </row>
    <row r="7" spans="1:28" x14ac:dyDescent="0.3">
      <c r="A7" s="6" t="s">
        <v>6</v>
      </c>
      <c r="B7" s="6"/>
      <c r="C7" s="6">
        <v>0.79100000000000004</v>
      </c>
      <c r="D7" s="6">
        <v>0.79100000000000004</v>
      </c>
      <c r="E7" s="6">
        <v>0.79100000000000004</v>
      </c>
      <c r="F7" s="6">
        <v>0.79100000000000004</v>
      </c>
      <c r="G7" s="6">
        <v>0.79100000000000004</v>
      </c>
      <c r="H7" s="6">
        <v>0.79100000000000004</v>
      </c>
      <c r="I7" s="6">
        <v>0.99881663518084796</v>
      </c>
      <c r="J7" s="6">
        <v>0.99881663518084796</v>
      </c>
      <c r="K7" s="6">
        <v>0.99881663518084796</v>
      </c>
      <c r="L7" s="6">
        <v>0.99881663518084796</v>
      </c>
      <c r="M7" s="6">
        <v>0.99881663518084796</v>
      </c>
      <c r="N7" s="6">
        <v>0.99881663518084796</v>
      </c>
      <c r="O7" s="6">
        <v>0.99881663518084796</v>
      </c>
      <c r="P7" s="6">
        <v>0.99881663518084396</v>
      </c>
      <c r="Q7" s="6">
        <v>0.99881663518084396</v>
      </c>
      <c r="R7" s="6">
        <v>0.99881663518084396</v>
      </c>
      <c r="S7" s="6">
        <v>0.96963492601621104</v>
      </c>
      <c r="T7" s="6">
        <v>0.96963492601621204</v>
      </c>
      <c r="U7" s="6">
        <v>0.96963492601621204</v>
      </c>
      <c r="V7" s="6">
        <v>1.81118478236281E-2</v>
      </c>
      <c r="W7" s="6">
        <v>1.81118478236281E-2</v>
      </c>
      <c r="X7" s="6">
        <v>1.81118478236281E-2</v>
      </c>
      <c r="Y7" s="6">
        <v>1.81118478236281E-2</v>
      </c>
      <c r="Z7" s="6">
        <v>0.79100000000000004</v>
      </c>
      <c r="AA7" s="6">
        <v>0.79100000000000004</v>
      </c>
      <c r="AB7" s="6">
        <v>0.99881663518084796</v>
      </c>
    </row>
    <row r="8" spans="1:28" x14ac:dyDescent="0.3">
      <c r="A8" s="6" t="s">
        <v>7</v>
      </c>
      <c r="B8" s="6"/>
      <c r="C8" s="6">
        <v>0.20899999999999999</v>
      </c>
      <c r="D8" s="6">
        <v>0.20899999999999999</v>
      </c>
      <c r="E8" s="6">
        <v>0.20899999999999999</v>
      </c>
      <c r="F8" s="6">
        <v>0.20899999999999999</v>
      </c>
      <c r="G8" s="6">
        <v>0.20899999999999999</v>
      </c>
      <c r="H8" s="6">
        <v>0.20899999999999999</v>
      </c>
      <c r="I8" s="6">
        <v>1.18336481915166E-3</v>
      </c>
      <c r="J8" s="6">
        <v>1.18336481915166E-3</v>
      </c>
      <c r="K8" s="6">
        <v>1.18336481915166E-3</v>
      </c>
      <c r="L8" s="6">
        <v>1.18336481915166E-3</v>
      </c>
      <c r="M8" s="6">
        <v>1.18336481915166E-3</v>
      </c>
      <c r="N8" s="6">
        <v>1.18336481915166E-3</v>
      </c>
      <c r="O8" s="6">
        <v>1.18336481915166E-3</v>
      </c>
      <c r="P8" s="6">
        <v>1.18336481915587E-3</v>
      </c>
      <c r="Q8" s="6">
        <v>1.18336481915587E-3</v>
      </c>
      <c r="R8" s="6">
        <v>1.18336481915587E-3</v>
      </c>
      <c r="S8" s="6">
        <v>3.0365073983788699E-2</v>
      </c>
      <c r="T8" s="6">
        <v>3.0365073983787901E-2</v>
      </c>
      <c r="U8" s="6">
        <v>3.0365073983787901E-2</v>
      </c>
      <c r="V8" s="6">
        <v>0.98188815217637204</v>
      </c>
      <c r="W8" s="6">
        <v>0.98188815217637204</v>
      </c>
      <c r="X8" s="6">
        <v>0.98188815217637204</v>
      </c>
      <c r="Y8" s="6">
        <v>0.98188815217637204</v>
      </c>
      <c r="Z8" s="6">
        <v>0.20899999999999999</v>
      </c>
      <c r="AA8" s="6">
        <v>0.20899999999999999</v>
      </c>
      <c r="AB8" s="6">
        <v>1.18336481915166E-3</v>
      </c>
    </row>
    <row r="9" spans="1:28" x14ac:dyDescent="0.3">
      <c r="A9" s="6" t="s">
        <v>8</v>
      </c>
      <c r="B9" s="6" t="s">
        <v>15</v>
      </c>
      <c r="C9" s="6">
        <v>17.873557316215098</v>
      </c>
      <c r="D9" s="6">
        <v>17.873557316215098</v>
      </c>
      <c r="E9" s="6">
        <v>17.873557316215098</v>
      </c>
      <c r="F9" s="6">
        <v>17.873557316215098</v>
      </c>
      <c r="G9" s="6">
        <v>17.873557316215098</v>
      </c>
      <c r="H9" s="6">
        <v>17.873557316215098</v>
      </c>
      <c r="I9" s="6">
        <v>18.056170810687</v>
      </c>
      <c r="J9" s="6">
        <v>18.056170810687</v>
      </c>
      <c r="K9" s="6">
        <v>18.056170810687</v>
      </c>
      <c r="L9" s="6">
        <v>11.1117675168968</v>
      </c>
      <c r="M9" s="6">
        <v>6.94440329379022</v>
      </c>
      <c r="N9" s="6">
        <v>11.1117675168968</v>
      </c>
      <c r="O9" s="6">
        <v>11.1117675168968</v>
      </c>
      <c r="P9" s="6">
        <v>11.111767516896798</v>
      </c>
      <c r="Q9" s="6">
        <v>11.111767516896798</v>
      </c>
      <c r="R9" s="6">
        <v>11.111767516896798</v>
      </c>
      <c r="S9" s="6">
        <v>6.9726655617283786</v>
      </c>
      <c r="T9" s="6">
        <v>6.9726655617283795</v>
      </c>
      <c r="U9" s="6">
        <v>6.9726655617283795</v>
      </c>
      <c r="V9" s="6">
        <v>3.9564884606964497</v>
      </c>
      <c r="W9" s="6">
        <v>0.82496740893981402</v>
      </c>
      <c r="X9" s="6">
        <v>3.1315210517566396</v>
      </c>
      <c r="Y9" s="6">
        <v>3.1315210517566396</v>
      </c>
      <c r="Z9" s="6">
        <v>17.873557316215098</v>
      </c>
      <c r="AA9" s="6">
        <v>17.873557316215098</v>
      </c>
      <c r="AB9" s="6">
        <v>11.1117675168968</v>
      </c>
    </row>
    <row r="10" spans="1:28" x14ac:dyDescent="0.3">
      <c r="A10" s="6" t="s">
        <v>6</v>
      </c>
      <c r="B10" s="6" t="s">
        <v>15</v>
      </c>
      <c r="C10" s="6">
        <v>13.729753603644944</v>
      </c>
      <c r="D10" s="6">
        <v>13.729753603644944</v>
      </c>
      <c r="E10" s="6">
        <v>13.729753603644944</v>
      </c>
      <c r="F10" s="6">
        <v>13.729753603644944</v>
      </c>
      <c r="G10" s="6">
        <v>13.729753603644944</v>
      </c>
      <c r="H10" s="6">
        <v>13.729753603644944</v>
      </c>
      <c r="I10" s="6">
        <v>18.031768113553639</v>
      </c>
      <c r="J10" s="6">
        <v>18.031768113553639</v>
      </c>
      <c r="K10" s="6">
        <v>18.031768113553639</v>
      </c>
      <c r="L10" s="6">
        <v>11.096750097080928</v>
      </c>
      <c r="M10" s="6">
        <v>6.9350180164727293</v>
      </c>
      <c r="N10" s="6">
        <v>11.096750097080928</v>
      </c>
      <c r="O10" s="6">
        <v>11.096750097080928</v>
      </c>
      <c r="P10" s="6">
        <v>11.096750097080873</v>
      </c>
      <c r="Q10" s="6">
        <v>11.096750097080873</v>
      </c>
      <c r="R10" s="6">
        <v>11.096750097080873</v>
      </c>
      <c r="S10" s="6">
        <v>6.7318593122596697</v>
      </c>
      <c r="T10" s="6">
        <v>6.7318593122596768</v>
      </c>
      <c r="U10" s="6">
        <v>6.7318593122596768</v>
      </c>
      <c r="V10" s="6">
        <v>6.2876274912458022E-2</v>
      </c>
      <c r="W10" s="6">
        <v>1.3110332081996579E-2</v>
      </c>
      <c r="X10" s="6">
        <v>4.9765942830461513E-2</v>
      </c>
      <c r="Y10" s="6">
        <v>4.9765942830461513E-2</v>
      </c>
      <c r="Z10" s="6">
        <v>13.729753603644944</v>
      </c>
      <c r="AA10" s="6">
        <v>13.729753603644944</v>
      </c>
      <c r="AB10" s="6">
        <v>11.096750097080928</v>
      </c>
    </row>
    <row r="11" spans="1:28" x14ac:dyDescent="0.3">
      <c r="A11" s="6" t="s">
        <v>7</v>
      </c>
      <c r="B11" s="6" t="s">
        <v>15</v>
      </c>
      <c r="C11" s="6">
        <v>4.143803712570155</v>
      </c>
      <c r="D11" s="6">
        <v>4.143803712570155</v>
      </c>
      <c r="E11" s="6">
        <v>4.143803712570155</v>
      </c>
      <c r="F11" s="6">
        <v>4.143803712570155</v>
      </c>
      <c r="G11" s="6">
        <v>4.143803712570155</v>
      </c>
      <c r="H11" s="6">
        <v>4.143803712570155</v>
      </c>
      <c r="I11" s="6">
        <v>2.440269713336219E-2</v>
      </c>
      <c r="J11" s="6">
        <v>2.440269713336219E-2</v>
      </c>
      <c r="K11" s="6">
        <v>2.440269713336219E-2</v>
      </c>
      <c r="L11" s="6">
        <v>1.5017419815871118E-2</v>
      </c>
      <c r="M11" s="6">
        <v>9.3852773174910985E-3</v>
      </c>
      <c r="N11" s="6">
        <v>1.5017419815871118E-2</v>
      </c>
      <c r="O11" s="6">
        <v>1.5017419815871118E-2</v>
      </c>
      <c r="P11" s="6">
        <v>1.5017419815924568E-2</v>
      </c>
      <c r="Q11" s="6">
        <v>1.5017419815924568E-2</v>
      </c>
      <c r="R11" s="6">
        <v>1.5017419815924568E-2</v>
      </c>
      <c r="S11" s="6">
        <v>0.24080624946870907</v>
      </c>
      <c r="T11" s="6">
        <v>0.24080624946870277</v>
      </c>
      <c r="U11" s="6">
        <v>0.24080624946870277</v>
      </c>
      <c r="V11" s="6">
        <v>3.8936121857839918</v>
      </c>
      <c r="W11" s="6">
        <v>0.81185707685781738</v>
      </c>
      <c r="X11" s="6">
        <v>3.0817551089261781</v>
      </c>
      <c r="Y11" s="6">
        <v>3.0817551089261781</v>
      </c>
      <c r="Z11" s="6">
        <v>4.143803712570155</v>
      </c>
      <c r="AA11" s="6">
        <v>4.143803712570155</v>
      </c>
      <c r="AB11" s="6">
        <v>1.5017419815871118E-2</v>
      </c>
    </row>
    <row r="15" spans="1:28" x14ac:dyDescent="0.3">
      <c r="A15" s="6" t="s">
        <v>0</v>
      </c>
      <c r="B15" s="6" t="s">
        <v>1</v>
      </c>
      <c r="C15" s="6" t="s">
        <v>2</v>
      </c>
      <c r="D15" s="6" t="s">
        <v>3</v>
      </c>
      <c r="E15" s="6" t="s">
        <v>4</v>
      </c>
      <c r="F15" s="6" t="s">
        <v>5</v>
      </c>
      <c r="G15" s="6" t="s">
        <v>6</v>
      </c>
      <c r="H15" s="6" t="s">
        <v>7</v>
      </c>
      <c r="I15" s="6" t="s">
        <v>8</v>
      </c>
      <c r="J15" s="6" t="s">
        <v>6</v>
      </c>
      <c r="K15" s="6" t="s">
        <v>7</v>
      </c>
    </row>
    <row r="16" spans="1:28" x14ac:dyDescent="0.3">
      <c r="A16" s="6" t="s">
        <v>9</v>
      </c>
      <c r="B16" s="6" t="s">
        <v>10</v>
      </c>
      <c r="C16" s="6" t="s">
        <v>11</v>
      </c>
      <c r="D16" s="6" t="s">
        <v>12</v>
      </c>
      <c r="E16" s="6" t="s">
        <v>13</v>
      </c>
      <c r="F16" s="6" t="s">
        <v>14</v>
      </c>
      <c r="G16" s="6"/>
      <c r="H16" s="6"/>
      <c r="I16" s="6" t="s">
        <v>15</v>
      </c>
      <c r="J16" s="6" t="s">
        <v>15</v>
      </c>
      <c r="K16" s="6" t="s">
        <v>15</v>
      </c>
    </row>
    <row r="17" spans="1:11" x14ac:dyDescent="0.3">
      <c r="A17" s="6">
        <v>1</v>
      </c>
      <c r="B17" s="6">
        <v>303</v>
      </c>
      <c r="C17" s="6">
        <v>101325</v>
      </c>
      <c r="D17" s="6">
        <v>133620.15348298755</v>
      </c>
      <c r="E17" s="6">
        <v>4711.01464532299</v>
      </c>
      <c r="F17" s="6">
        <v>0.6196111111</v>
      </c>
      <c r="G17" s="6">
        <v>0.79100000000000004</v>
      </c>
      <c r="H17" s="6">
        <v>0.20899999999999999</v>
      </c>
      <c r="I17" s="6">
        <v>17.873557316215098</v>
      </c>
      <c r="J17" s="6">
        <v>13.729753603644944</v>
      </c>
      <c r="K17" s="6">
        <v>4.143803712570155</v>
      </c>
    </row>
    <row r="18" spans="1:11" x14ac:dyDescent="0.3">
      <c r="A18" s="6">
        <v>2</v>
      </c>
      <c r="B18" s="6">
        <v>303</v>
      </c>
      <c r="C18" s="6">
        <v>296882.25</v>
      </c>
      <c r="D18" s="6">
        <v>118472.71151603783</v>
      </c>
      <c r="E18" s="6">
        <v>-4269.1007117809813</v>
      </c>
      <c r="F18" s="6">
        <v>0.6196111111</v>
      </c>
      <c r="G18" s="6">
        <v>0.79100000000000004</v>
      </c>
      <c r="H18" s="6">
        <v>0.20899999999999999</v>
      </c>
      <c r="I18" s="6">
        <v>17.873557316215098</v>
      </c>
      <c r="J18" s="6">
        <v>13.729753603644944</v>
      </c>
      <c r="K18" s="6">
        <v>4.143803712570155</v>
      </c>
    </row>
    <row r="19" spans="1:11" x14ac:dyDescent="0.3">
      <c r="A19" s="6">
        <v>3</v>
      </c>
      <c r="B19" s="6">
        <v>303</v>
      </c>
      <c r="C19" s="6">
        <v>364567.35</v>
      </c>
      <c r="D19" s="6">
        <v>113249.53199710818</v>
      </c>
      <c r="E19" s="6">
        <v>-5991.2238961675803</v>
      </c>
      <c r="F19" s="6">
        <v>0.6196111111</v>
      </c>
      <c r="G19" s="6">
        <v>0.79100000000000004</v>
      </c>
      <c r="H19" s="6">
        <v>0.20899999999999999</v>
      </c>
      <c r="I19" s="6">
        <v>17.873557316215098</v>
      </c>
      <c r="J19" s="6">
        <v>13.729753603644944</v>
      </c>
      <c r="K19" s="6">
        <v>4.143803712570155</v>
      </c>
    </row>
    <row r="20" spans="1:11" x14ac:dyDescent="0.3">
      <c r="A20" s="6">
        <v>4</v>
      </c>
      <c r="B20" s="6">
        <v>281</v>
      </c>
      <c r="C20" s="6">
        <v>354434.85</v>
      </c>
      <c r="D20" s="6">
        <v>-532051.42434890429</v>
      </c>
      <c r="E20" s="6">
        <v>-7968.3525869215864</v>
      </c>
      <c r="F20" s="6">
        <v>0.6196111111</v>
      </c>
      <c r="G20" s="6">
        <v>0.79100000000000004</v>
      </c>
      <c r="H20" s="6">
        <v>0.20899999999999999</v>
      </c>
      <c r="I20" s="6">
        <v>17.873557316215098</v>
      </c>
      <c r="J20" s="6">
        <v>13.729753603644944</v>
      </c>
      <c r="K20" s="6">
        <v>4.143803712570155</v>
      </c>
    </row>
    <row r="21" spans="1:11" x14ac:dyDescent="0.3">
      <c r="A21" s="6">
        <v>5</v>
      </c>
      <c r="B21" s="6">
        <v>110.9</v>
      </c>
      <c r="C21" s="6">
        <v>344302.35</v>
      </c>
      <c r="D21" s="6">
        <v>-5592883.004681739</v>
      </c>
      <c r="E21" s="6">
        <v>-35493.914106192744</v>
      </c>
      <c r="F21" s="6">
        <v>0.6196111111</v>
      </c>
      <c r="G21" s="6">
        <v>0.79100000000000004</v>
      </c>
      <c r="H21" s="6">
        <v>0.20899999999999999</v>
      </c>
      <c r="I21" s="6">
        <v>17.873557316215098</v>
      </c>
      <c r="J21" s="6">
        <v>13.729753603644944</v>
      </c>
      <c r="K21" s="6">
        <v>4.143803712570155</v>
      </c>
    </row>
    <row r="22" spans="1:11" x14ac:dyDescent="0.3">
      <c r="A22" s="6">
        <v>6</v>
      </c>
      <c r="B22" s="6">
        <v>87.216029776547103</v>
      </c>
      <c r="C22" s="6">
        <v>131722.5</v>
      </c>
      <c r="D22" s="6">
        <v>-6214663.8018944273</v>
      </c>
      <c r="E22" s="6">
        <v>-34208.961959085587</v>
      </c>
      <c r="F22" s="6">
        <v>0.6196111111</v>
      </c>
      <c r="G22" s="6">
        <v>0.79100000000000004</v>
      </c>
      <c r="H22" s="6">
        <v>0.20899999999999999</v>
      </c>
      <c r="I22" s="6">
        <v>17.873557316215098</v>
      </c>
      <c r="J22" s="6">
        <v>13.729753603644944</v>
      </c>
      <c r="K22" s="6">
        <v>4.143803712570155</v>
      </c>
    </row>
    <row r="23" spans="1:11" x14ac:dyDescent="0.3">
      <c r="A23" s="6">
        <v>7</v>
      </c>
      <c r="B23" s="6">
        <v>79.387953635545202</v>
      </c>
      <c r="C23" s="6">
        <v>125681.50350000001</v>
      </c>
      <c r="D23" s="6">
        <v>-6446133.474542195</v>
      </c>
      <c r="E23" s="6">
        <v>-40824.459636226915</v>
      </c>
      <c r="F23" s="6">
        <v>0.64444444439999982</v>
      </c>
      <c r="G23" s="6">
        <v>0.99881663518084796</v>
      </c>
      <c r="H23" s="6">
        <v>1.18336481915166E-3</v>
      </c>
      <c r="I23" s="6">
        <v>18.056170810687</v>
      </c>
      <c r="J23" s="6">
        <v>18.031768113553639</v>
      </c>
      <c r="K23" s="6">
        <v>2.440269713336219E-2</v>
      </c>
    </row>
    <row r="24" spans="1:11" x14ac:dyDescent="0.3">
      <c r="A24" s="6">
        <v>8</v>
      </c>
      <c r="B24" s="6">
        <v>92.055402334264301</v>
      </c>
      <c r="C24" s="6">
        <v>120681.50350000001</v>
      </c>
      <c r="D24" s="6">
        <v>-6060208.3184033651</v>
      </c>
      <c r="E24" s="6">
        <v>-35988.890868613395</v>
      </c>
      <c r="F24" s="6">
        <v>0.64444444439999982</v>
      </c>
      <c r="G24" s="6">
        <v>0.99881663518084796</v>
      </c>
      <c r="H24" s="6">
        <v>1.18336481915166E-3</v>
      </c>
      <c r="I24" s="6">
        <v>18.056170810687</v>
      </c>
      <c r="J24" s="6">
        <v>18.031768113553639</v>
      </c>
      <c r="K24" s="6">
        <v>2.440269713336219E-2</v>
      </c>
    </row>
    <row r="25" spans="1:11" x14ac:dyDescent="0.3">
      <c r="A25" s="6">
        <v>9</v>
      </c>
      <c r="B25" s="6">
        <v>279</v>
      </c>
      <c r="C25" s="6">
        <v>109431</v>
      </c>
      <c r="D25" s="6">
        <v>-567249.54964186111</v>
      </c>
      <c r="E25" s="6">
        <v>-2525.3184808087144</v>
      </c>
      <c r="F25" s="6">
        <v>0.64444444439999982</v>
      </c>
      <c r="G25" s="6">
        <v>0.99881663518084796</v>
      </c>
      <c r="H25" s="6">
        <v>1.18336481915166E-3</v>
      </c>
      <c r="I25" s="6">
        <v>18.056170810687</v>
      </c>
      <c r="J25" s="6">
        <v>18.031768113553639</v>
      </c>
      <c r="K25" s="6">
        <v>2.440269713336219E-2</v>
      </c>
    </row>
    <row r="26" spans="1:11" x14ac:dyDescent="0.3">
      <c r="A26" s="6">
        <v>10</v>
      </c>
      <c r="B26" s="6">
        <v>279</v>
      </c>
      <c r="C26" s="6">
        <v>109431</v>
      </c>
      <c r="D26" s="6">
        <v>-567249.54964186111</v>
      </c>
      <c r="E26" s="6">
        <v>-2525.3184808087144</v>
      </c>
      <c r="F26" s="6">
        <v>0.39659111108375983</v>
      </c>
      <c r="G26" s="6">
        <v>0.99881663518084796</v>
      </c>
      <c r="H26" s="6">
        <v>1.18336481915166E-3</v>
      </c>
      <c r="I26" s="6">
        <v>11.1117675168968</v>
      </c>
      <c r="J26" s="6">
        <v>11.096750097080928</v>
      </c>
      <c r="K26" s="6">
        <v>1.5017419815871118E-2</v>
      </c>
    </row>
    <row r="27" spans="1:11" x14ac:dyDescent="0.3">
      <c r="A27" s="6">
        <v>11</v>
      </c>
      <c r="B27" s="6">
        <v>279</v>
      </c>
      <c r="C27" s="6">
        <v>109431</v>
      </c>
      <c r="D27" s="6">
        <v>-567249.54964186111</v>
      </c>
      <c r="E27" s="6">
        <v>-2525.3184808087144</v>
      </c>
      <c r="F27" s="6">
        <v>0.2478533333162399</v>
      </c>
      <c r="G27" s="6">
        <v>0.99881663518084796</v>
      </c>
      <c r="H27" s="6">
        <v>1.18336481915166E-3</v>
      </c>
      <c r="I27" s="6">
        <v>6.94440329379022</v>
      </c>
      <c r="J27" s="6">
        <v>6.9350180164727293</v>
      </c>
      <c r="K27" s="6">
        <v>9.3852773174910985E-3</v>
      </c>
    </row>
    <row r="28" spans="1:11" x14ac:dyDescent="0.3">
      <c r="A28" s="6">
        <v>12</v>
      </c>
      <c r="B28" s="6">
        <v>303</v>
      </c>
      <c r="C28" s="6">
        <v>557287.5</v>
      </c>
      <c r="D28" s="6">
        <v>100498.61957179217</v>
      </c>
      <c r="E28" s="6">
        <v>-13744.999068681434</v>
      </c>
      <c r="F28" s="6">
        <v>0.39659111108375983</v>
      </c>
      <c r="G28" s="6">
        <v>0.99881663518084796</v>
      </c>
      <c r="H28" s="6">
        <v>1.18336481915166E-3</v>
      </c>
      <c r="I28" s="6">
        <v>11.1117675168968</v>
      </c>
      <c r="J28" s="6">
        <v>11.096750097080928</v>
      </c>
      <c r="K28" s="6">
        <v>1.5017419815871118E-2</v>
      </c>
    </row>
    <row r="29" spans="1:11" x14ac:dyDescent="0.3">
      <c r="A29" s="6">
        <v>13</v>
      </c>
      <c r="B29" s="6">
        <v>95.417772608960803</v>
      </c>
      <c r="C29" s="6">
        <v>552287.5</v>
      </c>
      <c r="D29" s="6">
        <v>-7356917.3639739463</v>
      </c>
      <c r="E29" s="6">
        <v>-61313.835351335139</v>
      </c>
      <c r="F29" s="6">
        <v>0.39659111108375983</v>
      </c>
      <c r="G29" s="6">
        <v>0.99881663518084796</v>
      </c>
      <c r="H29" s="6">
        <v>1.18336481915166E-3</v>
      </c>
      <c r="I29" s="6">
        <v>11.1117675168968</v>
      </c>
      <c r="J29" s="6">
        <v>11.096750097080928</v>
      </c>
      <c r="K29" s="6">
        <v>1.5017419815871118E-2</v>
      </c>
    </row>
    <row r="30" spans="1:11" x14ac:dyDescent="0.3">
      <c r="A30" s="6">
        <v>14</v>
      </c>
      <c r="B30" s="6">
        <v>95.409213110703007</v>
      </c>
      <c r="C30" s="6">
        <v>552287.5</v>
      </c>
      <c r="D30" s="6">
        <v>-11022784.558300525</v>
      </c>
      <c r="E30" s="6">
        <v>-99735.031553386405</v>
      </c>
      <c r="F30" s="6">
        <v>0.39659111108375994</v>
      </c>
      <c r="G30" s="6">
        <v>0.99881663518084396</v>
      </c>
      <c r="H30" s="6">
        <v>1.18336481915587E-3</v>
      </c>
      <c r="I30" s="6">
        <v>11.111767516896798</v>
      </c>
      <c r="J30" s="6">
        <v>11.096750097080873</v>
      </c>
      <c r="K30" s="6">
        <v>1.5017419815924568E-2</v>
      </c>
    </row>
    <row r="31" spans="1:11" x14ac:dyDescent="0.3">
      <c r="A31" s="6">
        <v>15</v>
      </c>
      <c r="B31" s="6">
        <v>81</v>
      </c>
      <c r="C31" s="6">
        <v>542287.5</v>
      </c>
      <c r="D31" s="6">
        <v>-11876771.876113009</v>
      </c>
      <c r="E31" s="6">
        <v>-109417.0352203597</v>
      </c>
      <c r="F31" s="6">
        <v>0.39659111108375994</v>
      </c>
      <c r="G31" s="6">
        <v>0.99881663518084396</v>
      </c>
      <c r="H31" s="6">
        <v>1.18336481915587E-3</v>
      </c>
      <c r="I31" s="6">
        <v>11.111767516896798</v>
      </c>
      <c r="J31" s="6">
        <v>11.096750097080873</v>
      </c>
      <c r="K31" s="6">
        <v>1.5017419815924568E-2</v>
      </c>
    </row>
    <row r="32" spans="1:11" x14ac:dyDescent="0.3">
      <c r="A32" s="6">
        <v>16</v>
      </c>
      <c r="B32" s="6">
        <v>79.437431681173805</v>
      </c>
      <c r="C32" s="6">
        <v>126656.25</v>
      </c>
      <c r="D32" s="6">
        <v>-11876771.876113009</v>
      </c>
      <c r="E32" s="6">
        <v>-109244.03737759919</v>
      </c>
      <c r="F32" s="6">
        <v>0.39659111108375994</v>
      </c>
      <c r="G32" s="6">
        <v>0.99881663518084396</v>
      </c>
      <c r="H32" s="6">
        <v>1.18336481915587E-3</v>
      </c>
      <c r="I32" s="6">
        <v>11.111767516896798</v>
      </c>
      <c r="J32" s="6">
        <v>11.096750097080873</v>
      </c>
      <c r="K32" s="6">
        <v>1.5017419815924568E-2</v>
      </c>
    </row>
    <row r="33" spans="1:11" x14ac:dyDescent="0.3">
      <c r="A33" s="6">
        <v>17</v>
      </c>
      <c r="B33" s="6">
        <v>80.144147672950595</v>
      </c>
      <c r="C33" s="6">
        <v>126953.292236842</v>
      </c>
      <c r="D33" s="6">
        <v>-6424282.4325460233</v>
      </c>
      <c r="E33" s="6">
        <v>-39572.265493087762</v>
      </c>
      <c r="F33" s="6">
        <v>0.24783333329999996</v>
      </c>
      <c r="G33" s="6">
        <v>0.96963492601621104</v>
      </c>
      <c r="H33" s="6">
        <v>3.0365073983788699E-2</v>
      </c>
      <c r="I33" s="6">
        <v>6.9726655617283786</v>
      </c>
      <c r="J33" s="6">
        <v>6.7318593122596697</v>
      </c>
      <c r="K33" s="6">
        <v>0.24080624946870907</v>
      </c>
    </row>
    <row r="34" spans="1:11" x14ac:dyDescent="0.3">
      <c r="A34" s="6">
        <v>18</v>
      </c>
      <c r="B34" s="6">
        <v>92.055402334264301</v>
      </c>
      <c r="C34" s="6">
        <v>121953.292236842</v>
      </c>
      <c r="D34" s="6">
        <v>-6061230.1538361246</v>
      </c>
      <c r="E34" s="6">
        <v>-35027.090105565483</v>
      </c>
      <c r="F34" s="6">
        <v>0.24783333330000001</v>
      </c>
      <c r="G34" s="6">
        <v>0.96963492601621204</v>
      </c>
      <c r="H34" s="6">
        <v>3.0365073983787901E-2</v>
      </c>
      <c r="I34" s="6">
        <v>6.9726655617283795</v>
      </c>
      <c r="J34" s="6">
        <v>6.7318593122596768</v>
      </c>
      <c r="K34" s="6">
        <v>0.24080624946870277</v>
      </c>
    </row>
    <row r="35" spans="1:11" x14ac:dyDescent="0.3">
      <c r="A35" s="6">
        <v>19</v>
      </c>
      <c r="B35" s="6">
        <v>279</v>
      </c>
      <c r="C35" s="6">
        <v>116953.292236842</v>
      </c>
      <c r="D35" s="6">
        <v>-568079.44222843915</v>
      </c>
      <c r="E35" s="6">
        <v>-2025.7669198723543</v>
      </c>
      <c r="F35" s="6">
        <v>0.24783333330000001</v>
      </c>
      <c r="G35" s="6">
        <v>0.96963492601621204</v>
      </c>
      <c r="H35" s="6">
        <v>3.0365073983787901E-2</v>
      </c>
      <c r="I35" s="6">
        <v>6.9726655617283795</v>
      </c>
      <c r="J35" s="6">
        <v>6.7318593122596768</v>
      </c>
      <c r="K35" s="6">
        <v>0.24080624946870277</v>
      </c>
    </row>
    <row r="36" spans="1:11" x14ac:dyDescent="0.3">
      <c r="A36" s="6">
        <v>20</v>
      </c>
      <c r="B36" s="6">
        <v>92.361862157175196</v>
      </c>
      <c r="C36" s="6">
        <v>135682.28099999999</v>
      </c>
      <c r="D36" s="6">
        <v>-12727101.301476242</v>
      </c>
      <c r="E36" s="6">
        <v>-108152.01841788858</v>
      </c>
      <c r="F36" s="6">
        <v>0.12392444448376003</v>
      </c>
      <c r="G36" s="6">
        <v>1.81118478236281E-2</v>
      </c>
      <c r="H36" s="6">
        <v>0.98188815217637204</v>
      </c>
      <c r="I36" s="6">
        <v>3.9564884606964497</v>
      </c>
      <c r="J36" s="6">
        <v>6.2876274912458022E-2</v>
      </c>
      <c r="K36" s="6">
        <v>3.8936121857839918</v>
      </c>
    </row>
    <row r="37" spans="1:11" x14ac:dyDescent="0.3">
      <c r="A37" s="6" t="s">
        <v>16</v>
      </c>
      <c r="B37" s="6">
        <v>92.361862157175196</v>
      </c>
      <c r="C37" s="6">
        <v>135682.28099999999</v>
      </c>
      <c r="D37" s="6">
        <v>-12727101.301476242</v>
      </c>
      <c r="E37" s="6">
        <v>-108152.01841788858</v>
      </c>
      <c r="F37" s="6">
        <v>2.5839485919308704E-2</v>
      </c>
      <c r="G37" s="6">
        <v>1.81118478236281E-2</v>
      </c>
      <c r="H37" s="6">
        <v>0.98188815217637204</v>
      </c>
      <c r="I37" s="6">
        <v>0.82496740893981402</v>
      </c>
      <c r="J37" s="6">
        <v>1.3110332081996579E-2</v>
      </c>
      <c r="K37" s="6">
        <v>0.81185707685781738</v>
      </c>
    </row>
    <row r="38" spans="1:11" x14ac:dyDescent="0.3">
      <c r="A38" s="6">
        <v>21</v>
      </c>
      <c r="B38" s="6">
        <v>92.361862157175196</v>
      </c>
      <c r="C38" s="6">
        <v>135682.28099999999</v>
      </c>
      <c r="D38" s="6">
        <v>-12727101.301476242</v>
      </c>
      <c r="E38" s="6">
        <v>-108152.01841788858</v>
      </c>
      <c r="F38" s="6">
        <v>9.8084958564451319E-2</v>
      </c>
      <c r="G38" s="6">
        <v>1.81118478236281E-2</v>
      </c>
      <c r="H38" s="6">
        <v>0.98188815217637204</v>
      </c>
      <c r="I38" s="6">
        <v>3.1315210517566396</v>
      </c>
      <c r="J38" s="6">
        <v>4.9765942830461513E-2</v>
      </c>
      <c r="K38" s="6">
        <v>3.0817551089261781</v>
      </c>
    </row>
    <row r="39" spans="1:11" x14ac:dyDescent="0.3">
      <c r="A39" s="6">
        <v>22</v>
      </c>
      <c r="B39" s="6">
        <v>279</v>
      </c>
      <c r="C39" s="6">
        <v>125682.281</v>
      </c>
      <c r="D39" s="6">
        <v>-574373.97477493947</v>
      </c>
      <c r="E39" s="6">
        <v>-3018.0018668634771</v>
      </c>
      <c r="F39" s="6">
        <v>9.8084958564451319E-2</v>
      </c>
      <c r="G39" s="6">
        <v>1.81118478236281E-2</v>
      </c>
      <c r="H39" s="6">
        <v>0.98188815217637204</v>
      </c>
      <c r="I39" s="6">
        <v>3.1315210517566396</v>
      </c>
      <c r="J39" s="6">
        <v>4.9765942830461513E-2</v>
      </c>
      <c r="K39" s="6">
        <v>3.0817551089261781</v>
      </c>
    </row>
    <row r="40" spans="1:11" x14ac:dyDescent="0.3">
      <c r="A40" s="6" t="s">
        <v>17</v>
      </c>
      <c r="B40" s="6">
        <v>437.97501999959201</v>
      </c>
      <c r="C40" s="6">
        <v>296882.25</v>
      </c>
      <c r="D40" s="6">
        <v>4093118.0758422171</v>
      </c>
      <c r="E40" s="6">
        <v>6576.667422596307</v>
      </c>
      <c r="F40" s="6">
        <v>0.6196111111</v>
      </c>
      <c r="G40" s="6">
        <v>0.79100000000000004</v>
      </c>
      <c r="H40" s="6">
        <v>0.20899999999999999</v>
      </c>
      <c r="I40" s="6">
        <v>17.873557316215098</v>
      </c>
      <c r="J40" s="6">
        <v>13.729753603644944</v>
      </c>
      <c r="K40" s="6">
        <v>4.143803712570155</v>
      </c>
    </row>
    <row r="41" spans="1:11" x14ac:dyDescent="0.3">
      <c r="A41" s="6" t="s">
        <v>18</v>
      </c>
      <c r="B41" s="6">
        <v>328.63181677827703</v>
      </c>
      <c r="C41" s="6">
        <v>364567.35</v>
      </c>
      <c r="D41" s="6">
        <v>866178.57586761529</v>
      </c>
      <c r="E41" s="6">
        <v>-3605.8447764616503</v>
      </c>
      <c r="F41" s="6">
        <v>0.6196111111</v>
      </c>
      <c r="G41" s="6">
        <v>0.79100000000000004</v>
      </c>
      <c r="H41" s="6">
        <v>0.20899999999999999</v>
      </c>
      <c r="I41" s="6">
        <v>17.873557316215098</v>
      </c>
      <c r="J41" s="6">
        <v>13.729753603644944</v>
      </c>
      <c r="K41" s="6">
        <v>4.143803712570155</v>
      </c>
    </row>
    <row r="42" spans="1:11" x14ac:dyDescent="0.3">
      <c r="A42" s="6" t="s">
        <v>53</v>
      </c>
      <c r="B42" s="6">
        <v>529.82501229797799</v>
      </c>
      <c r="C42" s="6">
        <v>557287.5</v>
      </c>
      <c r="D42" s="6">
        <v>6789654.741651102</v>
      </c>
      <c r="E42" s="6">
        <v>2725.2147794137445</v>
      </c>
      <c r="F42" s="6">
        <v>0.39659111108375983</v>
      </c>
      <c r="G42" s="6">
        <v>0.99881663518084796</v>
      </c>
      <c r="H42" s="6">
        <v>1.18336481915166E-3</v>
      </c>
      <c r="I42" s="6">
        <v>11.1117675168968</v>
      </c>
      <c r="J42" s="6">
        <v>11.096750097080928</v>
      </c>
      <c r="K42" s="6">
        <v>1.5017419815871118E-2</v>
      </c>
    </row>
    <row r="58" spans="1:25" x14ac:dyDescent="0.3">
      <c r="A58" s="2" t="s">
        <v>19</v>
      </c>
      <c r="B58" s="2" t="s">
        <v>20</v>
      </c>
      <c r="C58" s="2" t="s">
        <v>21</v>
      </c>
      <c r="D58" s="2" t="s">
        <v>22</v>
      </c>
      <c r="E58" s="2" t="s">
        <v>23</v>
      </c>
      <c r="F58" s="2" t="s">
        <v>24</v>
      </c>
      <c r="G58" s="2" t="s">
        <v>25</v>
      </c>
      <c r="H58" s="2" t="s">
        <v>26</v>
      </c>
      <c r="I58" s="2" t="s">
        <v>27</v>
      </c>
      <c r="J58" s="2" t="s">
        <v>28</v>
      </c>
      <c r="K58" s="2" t="s">
        <v>29</v>
      </c>
      <c r="L58" s="2" t="s">
        <v>30</v>
      </c>
      <c r="W58" s="2"/>
      <c r="Y58" s="2"/>
    </row>
    <row r="59" spans="1:25" x14ac:dyDescent="0.3">
      <c r="A59" t="s">
        <v>31</v>
      </c>
      <c r="B59">
        <v>49996.668391034407</v>
      </c>
      <c r="C59">
        <v>0.61961111099999999</v>
      </c>
      <c r="D59">
        <v>303</v>
      </c>
      <c r="E59">
        <v>1</v>
      </c>
      <c r="F59">
        <v>101325</v>
      </c>
      <c r="G59">
        <v>0.20899999999999999</v>
      </c>
      <c r="H59">
        <v>0.79100000000000004</v>
      </c>
      <c r="I59">
        <v>133.62015349999999</v>
      </c>
      <c r="J59">
        <v>133620.15349999999</v>
      </c>
      <c r="K59">
        <v>4.7110146450000014</v>
      </c>
      <c r="L59">
        <v>4711.0146450000002</v>
      </c>
    </row>
    <row r="60" spans="1:25" x14ac:dyDescent="0.3">
      <c r="A60" t="s">
        <v>32</v>
      </c>
      <c r="B60">
        <v>49996.668391034407</v>
      </c>
      <c r="C60">
        <v>0.61961111099999999</v>
      </c>
      <c r="D60">
        <v>303</v>
      </c>
      <c r="E60">
        <v>2.93</v>
      </c>
      <c r="F60">
        <v>296882.25</v>
      </c>
      <c r="G60">
        <v>0.20899999999999999</v>
      </c>
      <c r="H60">
        <v>0.79100000000000004</v>
      </c>
      <c r="I60">
        <v>118.4727115</v>
      </c>
      <c r="J60">
        <v>118472.7115</v>
      </c>
      <c r="K60">
        <v>-4.2691007120000002</v>
      </c>
      <c r="L60">
        <v>-4269.1007120000004</v>
      </c>
    </row>
    <row r="61" spans="1:25" x14ac:dyDescent="0.3">
      <c r="A61" t="s">
        <v>33</v>
      </c>
      <c r="B61">
        <v>49996.668391034407</v>
      </c>
      <c r="C61">
        <v>0.61961111099999999</v>
      </c>
      <c r="D61">
        <v>303</v>
      </c>
      <c r="E61">
        <v>3.5979999999999999</v>
      </c>
      <c r="F61">
        <v>364567.35</v>
      </c>
      <c r="G61">
        <v>0.20899999999999999</v>
      </c>
      <c r="H61">
        <v>0.79100000000000004</v>
      </c>
      <c r="I61">
        <v>113.249532</v>
      </c>
      <c r="J61">
        <v>113249.53200000001</v>
      </c>
      <c r="K61">
        <v>-5.9912238960000002</v>
      </c>
      <c r="L61">
        <v>-5991.2238960000004</v>
      </c>
    </row>
    <row r="62" spans="1:25" x14ac:dyDescent="0.3">
      <c r="A62" t="s">
        <v>34</v>
      </c>
      <c r="B62">
        <v>49996.668391034407</v>
      </c>
      <c r="C62">
        <v>0.61961111099999999</v>
      </c>
      <c r="D62">
        <v>281</v>
      </c>
      <c r="E62">
        <v>3.4980000000000002</v>
      </c>
      <c r="F62">
        <v>354434.85</v>
      </c>
      <c r="G62">
        <v>0.20899999999999999</v>
      </c>
      <c r="H62">
        <v>0.79100000000000004</v>
      </c>
      <c r="I62">
        <v>-532.05142430000001</v>
      </c>
      <c r="J62">
        <v>-532051.42429999996</v>
      </c>
      <c r="K62">
        <v>-7.968352587</v>
      </c>
      <c r="L62">
        <v>-7968.3525870000003</v>
      </c>
    </row>
    <row r="63" spans="1:25" x14ac:dyDescent="0.3">
      <c r="A63" t="s">
        <v>35</v>
      </c>
      <c r="B63">
        <v>49996.668391034407</v>
      </c>
      <c r="C63">
        <v>0.61961111099999999</v>
      </c>
      <c r="D63">
        <v>110.9</v>
      </c>
      <c r="E63">
        <v>3.3980000000000001</v>
      </c>
      <c r="F63">
        <v>344302.35</v>
      </c>
      <c r="G63">
        <v>0.20899999999999999</v>
      </c>
      <c r="H63">
        <v>0.79100000000000004</v>
      </c>
      <c r="I63">
        <v>-5592.8830049999997</v>
      </c>
      <c r="J63">
        <v>-5592883.0049999999</v>
      </c>
      <c r="K63">
        <v>-35.493914109999999</v>
      </c>
      <c r="L63">
        <v>-35493.914109999998</v>
      </c>
    </row>
    <row r="64" spans="1:25" x14ac:dyDescent="0.3">
      <c r="A64" t="s">
        <v>36</v>
      </c>
      <c r="B64">
        <v>49996.668391034407</v>
      </c>
      <c r="C64">
        <v>0.61961111099999999</v>
      </c>
      <c r="D64">
        <v>87.21602978</v>
      </c>
      <c r="E64">
        <v>1.3</v>
      </c>
      <c r="F64">
        <v>131722.5</v>
      </c>
      <c r="G64">
        <v>0.20899999999999999</v>
      </c>
      <c r="H64">
        <v>0.79100000000000004</v>
      </c>
      <c r="I64">
        <v>-6214.663802</v>
      </c>
      <c r="J64">
        <v>-6214663.8020000001</v>
      </c>
      <c r="K64">
        <v>-34.208961960000003</v>
      </c>
      <c r="L64">
        <v>-34208.961960000001</v>
      </c>
    </row>
    <row r="65" spans="1:12" x14ac:dyDescent="0.3">
      <c r="A65" t="s">
        <v>37</v>
      </c>
      <c r="B65">
        <v>52000.479964137608</v>
      </c>
      <c r="C65">
        <v>0.64444444400000001</v>
      </c>
      <c r="D65">
        <v>79.387953640000006</v>
      </c>
      <c r="E65">
        <v>1.24038</v>
      </c>
      <c r="F65">
        <v>125681.50350000001</v>
      </c>
      <c r="G65">
        <v>1.183365E-3</v>
      </c>
      <c r="H65">
        <v>0.99881663499999995</v>
      </c>
      <c r="I65">
        <v>-6446.1334749999996</v>
      </c>
      <c r="J65">
        <v>-6446133.4749999996</v>
      </c>
      <c r="K65">
        <v>-40.824459640000001</v>
      </c>
      <c r="L65">
        <v>-40824.459640000001</v>
      </c>
    </row>
    <row r="66" spans="1:12" x14ac:dyDescent="0.3">
      <c r="A66" t="s">
        <v>38</v>
      </c>
      <c r="B66">
        <v>52000.479964137608</v>
      </c>
      <c r="C66">
        <v>0.64444444400000001</v>
      </c>
      <c r="D66">
        <v>92.055402330000007</v>
      </c>
      <c r="E66">
        <v>1.191033836664199</v>
      </c>
      <c r="F66">
        <v>120681.50350000001</v>
      </c>
      <c r="G66">
        <v>1.183365E-3</v>
      </c>
      <c r="H66">
        <v>0.99881663499999995</v>
      </c>
      <c r="I66">
        <v>-6060.208318</v>
      </c>
      <c r="J66">
        <v>-6060208.318</v>
      </c>
      <c r="K66">
        <v>-35.988890870000013</v>
      </c>
      <c r="L66">
        <v>-35988.890870000003</v>
      </c>
    </row>
    <row r="67" spans="1:12" x14ac:dyDescent="0.3">
      <c r="A67" t="s">
        <v>39</v>
      </c>
      <c r="B67">
        <v>52000.479964137608</v>
      </c>
      <c r="C67">
        <v>0.64444444400000001</v>
      </c>
      <c r="D67">
        <v>279</v>
      </c>
      <c r="E67">
        <v>1.08</v>
      </c>
      <c r="F67">
        <v>109431</v>
      </c>
      <c r="G67">
        <v>1.183365E-3</v>
      </c>
      <c r="H67">
        <v>0.99881663499999995</v>
      </c>
      <c r="I67">
        <v>-567.24954960000002</v>
      </c>
      <c r="J67">
        <v>-567249.54960000003</v>
      </c>
      <c r="K67">
        <v>-2.5253184809999998</v>
      </c>
      <c r="L67">
        <v>-2525.3184809999998</v>
      </c>
    </row>
    <row r="68" spans="1:12" x14ac:dyDescent="0.3">
      <c r="A68" t="s">
        <v>40</v>
      </c>
      <c r="B68">
        <v>32001.095383034401</v>
      </c>
      <c r="C68">
        <v>0.396591111</v>
      </c>
      <c r="D68">
        <v>279</v>
      </c>
      <c r="E68">
        <v>1.08</v>
      </c>
      <c r="F68">
        <v>109431</v>
      </c>
      <c r="G68">
        <v>1.183365E-3</v>
      </c>
      <c r="H68">
        <v>0.99881663499999995</v>
      </c>
      <c r="I68">
        <v>-567.24954960000002</v>
      </c>
      <c r="J68">
        <v>-567249.54960000003</v>
      </c>
      <c r="K68">
        <v>-2.5253184809999998</v>
      </c>
      <c r="L68">
        <v>-2525.3184809999998</v>
      </c>
    </row>
    <row r="69" spans="1:12" x14ac:dyDescent="0.3">
      <c r="A69" t="s">
        <v>41</v>
      </c>
      <c r="B69">
        <v>19999.384581103201</v>
      </c>
      <c r="C69">
        <v>0.24785333300000001</v>
      </c>
      <c r="D69">
        <v>279</v>
      </c>
      <c r="E69">
        <v>1.08</v>
      </c>
      <c r="F69">
        <v>109431</v>
      </c>
      <c r="G69">
        <v>1.183365E-3</v>
      </c>
      <c r="H69">
        <v>0.99881663499999995</v>
      </c>
      <c r="I69">
        <v>-567.24954960000002</v>
      </c>
      <c r="J69">
        <v>-567249.54960000003</v>
      </c>
      <c r="K69">
        <v>-2.5253184809999998</v>
      </c>
      <c r="L69">
        <v>-2525.3184809999998</v>
      </c>
    </row>
    <row r="70" spans="1:12" x14ac:dyDescent="0.3">
      <c r="A70" t="s">
        <v>42</v>
      </c>
      <c r="B70">
        <v>32001.095383034401</v>
      </c>
      <c r="C70">
        <v>0.396591111</v>
      </c>
      <c r="D70">
        <v>303</v>
      </c>
      <c r="E70">
        <v>5.5</v>
      </c>
      <c r="F70">
        <v>557287.5</v>
      </c>
      <c r="G70">
        <v>1.183365E-3</v>
      </c>
      <c r="H70">
        <v>0.99881663499999995</v>
      </c>
      <c r="I70">
        <v>100.4986196</v>
      </c>
      <c r="J70">
        <v>100498.61960000001</v>
      </c>
      <c r="K70">
        <v>-13.74499907</v>
      </c>
      <c r="L70">
        <v>-13744.99907</v>
      </c>
    </row>
    <row r="71" spans="1:12" x14ac:dyDescent="0.3">
      <c r="A71" t="s">
        <v>43</v>
      </c>
      <c r="B71">
        <v>32001.095383034401</v>
      </c>
      <c r="C71">
        <v>0.396591111</v>
      </c>
      <c r="D71">
        <v>95.41777261</v>
      </c>
      <c r="E71">
        <v>5.4506538366641992</v>
      </c>
      <c r="F71">
        <v>552287.5</v>
      </c>
      <c r="G71">
        <v>1.183365E-3</v>
      </c>
      <c r="H71">
        <v>0.99881663499999995</v>
      </c>
      <c r="I71">
        <v>-7356.9173639999999</v>
      </c>
      <c r="J71">
        <v>-7356917.3640000001</v>
      </c>
      <c r="K71">
        <v>-61.313835349999998</v>
      </c>
      <c r="L71">
        <v>-61313.835350000001</v>
      </c>
    </row>
    <row r="72" spans="1:12" x14ac:dyDescent="0.3">
      <c r="A72" t="s">
        <v>44</v>
      </c>
      <c r="B72">
        <v>32001.095383034401</v>
      </c>
      <c r="C72">
        <v>0.396591111</v>
      </c>
      <c r="D72">
        <v>95.409213109999996</v>
      </c>
      <c r="E72">
        <v>5.4506538366641992</v>
      </c>
      <c r="F72">
        <v>552287.5</v>
      </c>
      <c r="G72">
        <v>1.183365E-3</v>
      </c>
      <c r="H72">
        <v>0.99881663499999995</v>
      </c>
      <c r="I72">
        <v>-11022.78456</v>
      </c>
      <c r="J72">
        <v>-11022784.560000001</v>
      </c>
      <c r="K72">
        <v>-99.735031550000002</v>
      </c>
      <c r="L72">
        <v>-99735.03155</v>
      </c>
    </row>
    <row r="73" spans="1:12" x14ac:dyDescent="0.3">
      <c r="A73" t="s">
        <v>45</v>
      </c>
      <c r="B73">
        <v>32001.095383034401</v>
      </c>
      <c r="C73">
        <v>0.396591111</v>
      </c>
      <c r="D73">
        <v>81</v>
      </c>
      <c r="E73">
        <v>5.3519615099925977</v>
      </c>
      <c r="F73">
        <v>542287.5</v>
      </c>
      <c r="G73">
        <v>1.183365E-3</v>
      </c>
      <c r="H73">
        <v>0.99881663499999995</v>
      </c>
      <c r="I73">
        <v>-11876.77188</v>
      </c>
      <c r="J73">
        <v>-11876771.880000001</v>
      </c>
      <c r="K73">
        <v>-109.4170352</v>
      </c>
      <c r="L73">
        <v>-109417.0352</v>
      </c>
    </row>
    <row r="74" spans="1:12" x14ac:dyDescent="0.3">
      <c r="A74" t="s">
        <v>46</v>
      </c>
      <c r="B74">
        <v>32001.095383034401</v>
      </c>
      <c r="C74">
        <v>0.396591111</v>
      </c>
      <c r="D74">
        <v>79.437431680000003</v>
      </c>
      <c r="E74">
        <v>1.25</v>
      </c>
      <c r="F74">
        <v>126656.25</v>
      </c>
      <c r="G74">
        <v>1.183365E-3</v>
      </c>
      <c r="H74">
        <v>0.99881663499999995</v>
      </c>
      <c r="I74">
        <v>-11876.77188</v>
      </c>
      <c r="J74">
        <v>-11876771.880000001</v>
      </c>
      <c r="K74">
        <v>-109.2440374</v>
      </c>
      <c r="L74">
        <v>-109244.0374</v>
      </c>
    </row>
    <row r="75" spans="1:12" x14ac:dyDescent="0.3">
      <c r="A75" t="s">
        <v>47</v>
      </c>
      <c r="B75">
        <v>19997.770773103199</v>
      </c>
      <c r="C75">
        <v>0.24783333299999999</v>
      </c>
      <c r="D75">
        <v>80.144147669999995</v>
      </c>
      <c r="E75">
        <v>1.2529315785837649</v>
      </c>
      <c r="F75">
        <v>126953.2922</v>
      </c>
      <c r="G75">
        <v>3.0365073999999999E-2</v>
      </c>
      <c r="H75">
        <v>0.96963492600000001</v>
      </c>
      <c r="I75">
        <v>-6424.2824330000003</v>
      </c>
      <c r="J75">
        <v>-6424282.4330000002</v>
      </c>
      <c r="K75">
        <v>-39.572265489999999</v>
      </c>
      <c r="L75">
        <v>-39572.265489999998</v>
      </c>
    </row>
    <row r="76" spans="1:12" x14ac:dyDescent="0.3">
      <c r="A76" t="s">
        <v>48</v>
      </c>
      <c r="B76">
        <v>19997.770773103199</v>
      </c>
      <c r="C76">
        <v>0.24783333299999999</v>
      </c>
      <c r="D76">
        <v>92.055402330000007</v>
      </c>
      <c r="E76">
        <v>1.2035854152479639</v>
      </c>
      <c r="F76">
        <v>121953.2922</v>
      </c>
      <c r="G76">
        <v>3.0365073999999999E-2</v>
      </c>
      <c r="H76">
        <v>0.96963492600000001</v>
      </c>
      <c r="I76">
        <v>-6061.2301539999999</v>
      </c>
      <c r="J76">
        <v>-6061230.1540000001</v>
      </c>
      <c r="K76">
        <v>-35.027090110000003</v>
      </c>
      <c r="L76">
        <v>-35027.090109999997</v>
      </c>
    </row>
    <row r="77" spans="1:12" x14ac:dyDescent="0.3">
      <c r="A77" t="s">
        <v>49</v>
      </c>
      <c r="B77">
        <v>19997.770773103199</v>
      </c>
      <c r="C77">
        <v>0.24783333299999999</v>
      </c>
      <c r="D77">
        <v>279</v>
      </c>
      <c r="E77">
        <v>1.154239251912164</v>
      </c>
      <c r="F77">
        <v>116953.2922</v>
      </c>
      <c r="G77">
        <v>3.0365073999999999E-2</v>
      </c>
      <c r="H77">
        <v>0.96963492600000001</v>
      </c>
      <c r="I77">
        <v>-568.07944220000002</v>
      </c>
      <c r="J77">
        <v>-568079.44220000005</v>
      </c>
      <c r="K77">
        <v>-2.0257669200000001</v>
      </c>
      <c r="L77">
        <v>-2025.76692</v>
      </c>
    </row>
    <row r="78" spans="1:12" x14ac:dyDescent="0.3">
      <c r="A78" t="s">
        <v>50</v>
      </c>
      <c r="B78">
        <v>9999.5129561375998</v>
      </c>
      <c r="C78">
        <v>0.12392444399999999</v>
      </c>
      <c r="D78">
        <v>92.361862160000001</v>
      </c>
      <c r="E78">
        <v>1.33908</v>
      </c>
      <c r="F78">
        <v>135682.28099999999</v>
      </c>
      <c r="G78">
        <v>0.98188815200000001</v>
      </c>
      <c r="H78">
        <v>1.8111848E-2</v>
      </c>
      <c r="I78">
        <v>-12727.1013</v>
      </c>
      <c r="J78">
        <v>-12727101.300000001</v>
      </c>
      <c r="K78">
        <v>-108.1520184</v>
      </c>
      <c r="L78">
        <v>-108152.0184</v>
      </c>
    </row>
    <row r="79" spans="1:12" x14ac:dyDescent="0.3">
      <c r="A79" t="s">
        <v>16</v>
      </c>
      <c r="B79">
        <v>2084.9984611343998</v>
      </c>
      <c r="C79">
        <v>2.5839485999999998E-2</v>
      </c>
      <c r="D79">
        <v>92.361862160000001</v>
      </c>
      <c r="E79">
        <v>1.33908</v>
      </c>
      <c r="F79">
        <v>135682.28099999999</v>
      </c>
      <c r="G79">
        <v>0.98188815200000001</v>
      </c>
      <c r="H79">
        <v>1.8111848E-2</v>
      </c>
      <c r="I79">
        <v>-12727.1013</v>
      </c>
      <c r="J79">
        <v>-12727101.300000001</v>
      </c>
      <c r="K79">
        <v>-108.1520184</v>
      </c>
      <c r="L79">
        <v>-108152.0184</v>
      </c>
    </row>
    <row r="80" spans="1:12" x14ac:dyDescent="0.3">
      <c r="A80" t="s">
        <v>51</v>
      </c>
      <c r="B80">
        <v>7914.5145756936008</v>
      </c>
      <c r="C80">
        <v>9.8084958999999999E-2</v>
      </c>
      <c r="D80">
        <v>92.361862160000001</v>
      </c>
      <c r="E80">
        <v>1.33908</v>
      </c>
      <c r="F80">
        <v>135682.28099999999</v>
      </c>
      <c r="G80">
        <v>0.98188815200000001</v>
      </c>
      <c r="H80">
        <v>1.8111848E-2</v>
      </c>
      <c r="I80">
        <v>-12727.1013</v>
      </c>
      <c r="J80">
        <v>-12727101.300000001</v>
      </c>
      <c r="K80">
        <v>-108.1520184</v>
      </c>
      <c r="L80">
        <v>-108152.0184</v>
      </c>
    </row>
    <row r="81" spans="1:12" x14ac:dyDescent="0.3">
      <c r="A81" t="s">
        <v>52</v>
      </c>
      <c r="B81">
        <v>7914.5145756936008</v>
      </c>
      <c r="C81">
        <v>9.8084958999999999E-2</v>
      </c>
      <c r="D81">
        <v>279</v>
      </c>
      <c r="E81">
        <v>1.2403876733283989</v>
      </c>
      <c r="F81">
        <v>125682.281</v>
      </c>
      <c r="G81">
        <v>0.98188815200000001</v>
      </c>
      <c r="H81">
        <v>1.8111848E-2</v>
      </c>
      <c r="I81">
        <v>-574.37397479999993</v>
      </c>
      <c r="J81">
        <v>-574373.97479999997</v>
      </c>
      <c r="K81">
        <v>-3.0180018670000002</v>
      </c>
      <c r="L81">
        <v>-3018.0018669999999</v>
      </c>
    </row>
    <row r="82" spans="1:12" x14ac:dyDescent="0.3">
      <c r="A82" t="s">
        <v>17</v>
      </c>
      <c r="B82">
        <v>49996.668391034407</v>
      </c>
      <c r="C82">
        <v>0.61961111099999999</v>
      </c>
      <c r="D82">
        <v>437.97501999999997</v>
      </c>
      <c r="E82">
        <v>2.93</v>
      </c>
      <c r="F82">
        <v>296882.25</v>
      </c>
      <c r="G82">
        <v>0.20899999999999999</v>
      </c>
      <c r="H82">
        <v>0.79100000000000004</v>
      </c>
      <c r="I82">
        <v>4093.1180760000002</v>
      </c>
      <c r="J82">
        <v>4093118.0759999999</v>
      </c>
      <c r="K82">
        <v>6.576667423</v>
      </c>
      <c r="L82">
        <v>6576.6674229999999</v>
      </c>
    </row>
    <row r="83" spans="1:12" x14ac:dyDescent="0.3">
      <c r="A83" t="s">
        <v>18</v>
      </c>
      <c r="B83">
        <v>49996.668391034407</v>
      </c>
      <c r="C83">
        <v>0.61961111099999999</v>
      </c>
      <c r="D83">
        <v>328.63181680000002</v>
      </c>
      <c r="E83">
        <v>3.5979999999999999</v>
      </c>
      <c r="F83">
        <v>364567.35</v>
      </c>
      <c r="G83">
        <v>0.20899999999999999</v>
      </c>
      <c r="H83">
        <v>0.79100000000000004</v>
      </c>
      <c r="I83">
        <v>866.17857590000006</v>
      </c>
      <c r="J83">
        <v>866178.57590000005</v>
      </c>
      <c r="K83">
        <v>-3.6058447760000001</v>
      </c>
      <c r="L83">
        <v>-3605.8447759999999</v>
      </c>
    </row>
    <row r="84" spans="1:12" x14ac:dyDescent="0.3">
      <c r="A84" t="s">
        <v>53</v>
      </c>
      <c r="B84">
        <v>32001.095383034401</v>
      </c>
      <c r="C84">
        <v>0.396591111</v>
      </c>
      <c r="D84">
        <v>529.82501230000003</v>
      </c>
      <c r="E84">
        <v>5.5</v>
      </c>
      <c r="F84">
        <v>557287.5</v>
      </c>
      <c r="G84">
        <v>1.183365E-3</v>
      </c>
      <c r="H84">
        <v>0.99881663499999995</v>
      </c>
      <c r="I84">
        <v>6789.6547419999997</v>
      </c>
      <c r="J84">
        <v>6789654.7419999996</v>
      </c>
      <c r="K84">
        <v>2.7252147789999999</v>
      </c>
      <c r="L84">
        <v>2725.2147789999999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14F7-0A13-4A7C-A1FC-449651FE672F}">
  <dimension ref="A1:AA29"/>
  <sheetViews>
    <sheetView tabSelected="1" topLeftCell="C1" workbookViewId="0">
      <selection activeCell="J21" sqref="J21"/>
    </sheetView>
  </sheetViews>
  <sheetFormatPr baseColWidth="10" defaultRowHeight="14.4" x14ac:dyDescent="0.3"/>
  <cols>
    <col min="20" max="20" width="14.88671875" bestFit="1" customWidth="1"/>
  </cols>
  <sheetData>
    <row r="1" spans="1:27" x14ac:dyDescent="0.3">
      <c r="A1" s="2" t="s">
        <v>19</v>
      </c>
      <c r="B1" s="2" t="s">
        <v>20</v>
      </c>
      <c r="C1" s="2" t="s">
        <v>22</v>
      </c>
      <c r="D1" s="2" t="s">
        <v>23</v>
      </c>
      <c r="E1" s="2" t="s">
        <v>25</v>
      </c>
      <c r="F1" s="2" t="s">
        <v>26</v>
      </c>
      <c r="G1" s="2" t="s">
        <v>27</v>
      </c>
      <c r="H1" s="2" t="s">
        <v>29</v>
      </c>
      <c r="J1" s="2" t="s">
        <v>19</v>
      </c>
      <c r="K1" s="2" t="s">
        <v>20</v>
      </c>
      <c r="L1" s="2" t="s">
        <v>22</v>
      </c>
      <c r="M1" s="2" t="s">
        <v>23</v>
      </c>
      <c r="N1" s="2" t="s">
        <v>25</v>
      </c>
      <c r="O1" s="2" t="s">
        <v>26</v>
      </c>
      <c r="P1" s="2" t="s">
        <v>27</v>
      </c>
      <c r="Q1" s="2" t="s">
        <v>29</v>
      </c>
      <c r="T1" s="2" t="s">
        <v>19</v>
      </c>
      <c r="U1" s="2" t="s">
        <v>20</v>
      </c>
      <c r="V1" s="2" t="s">
        <v>22</v>
      </c>
      <c r="W1" s="2" t="s">
        <v>23</v>
      </c>
      <c r="X1" s="2" t="s">
        <v>25</v>
      </c>
      <c r="Y1" s="2" t="s">
        <v>26</v>
      </c>
      <c r="Z1" s="2" t="s">
        <v>27</v>
      </c>
      <c r="AA1" s="2" t="s">
        <v>29</v>
      </c>
    </row>
    <row r="2" spans="1:27" x14ac:dyDescent="0.3">
      <c r="A2">
        <v>1</v>
      </c>
      <c r="B2">
        <v>50000</v>
      </c>
      <c r="C2">
        <v>303</v>
      </c>
      <c r="D2">
        <v>1</v>
      </c>
      <c r="E2">
        <v>0.20899999999999999</v>
      </c>
      <c r="F2">
        <v>0.79100000000000004</v>
      </c>
      <c r="G2">
        <v>133.62020000000001</v>
      </c>
      <c r="H2">
        <v>4.7110000000000003</v>
      </c>
      <c r="J2" t="s">
        <v>31</v>
      </c>
      <c r="K2">
        <v>49996.668391034407</v>
      </c>
      <c r="L2">
        <v>303</v>
      </c>
      <c r="M2">
        <v>1</v>
      </c>
      <c r="N2">
        <v>0.20899999999999999</v>
      </c>
      <c r="O2">
        <v>0.79100000000000004</v>
      </c>
      <c r="P2">
        <v>133.62015349999999</v>
      </c>
      <c r="Q2">
        <v>4.7110146450000014</v>
      </c>
      <c r="T2">
        <v>1</v>
      </c>
      <c r="U2" s="5">
        <f>IFERROR( (K2 - B2) /B2, "" )</f>
        <v>-6.6632179311854991E-5</v>
      </c>
      <c r="V2" s="5">
        <f t="shared" ref="V2:AA17" si="0">IFERROR( (L2 - C2) /C2, "" )</f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-3.4800127544119322E-7</v>
      </c>
      <c r="AA2" s="5">
        <f t="shared" si="0"/>
        <v>3.1086818087763841E-6</v>
      </c>
    </row>
    <row r="3" spans="1:27" x14ac:dyDescent="0.3">
      <c r="A3">
        <v>2</v>
      </c>
      <c r="B3">
        <v>50000</v>
      </c>
      <c r="C3">
        <v>303</v>
      </c>
      <c r="D3">
        <v>2.93</v>
      </c>
      <c r="E3">
        <v>0.20899999999999999</v>
      </c>
      <c r="F3">
        <v>0.79100000000000004</v>
      </c>
      <c r="G3">
        <v>118.4727</v>
      </c>
      <c r="H3">
        <v>-4.2690000000000001</v>
      </c>
      <c r="J3" t="s">
        <v>32</v>
      </c>
      <c r="K3">
        <v>49996.668391034407</v>
      </c>
      <c r="L3">
        <v>303</v>
      </c>
      <c r="M3">
        <v>2.93</v>
      </c>
      <c r="N3">
        <v>0.20899999999999999</v>
      </c>
      <c r="O3">
        <v>0.79100000000000004</v>
      </c>
      <c r="P3">
        <v>118.4727115</v>
      </c>
      <c r="Q3">
        <v>-4.2691007120000002</v>
      </c>
      <c r="T3">
        <v>2</v>
      </c>
      <c r="U3" s="5">
        <f t="shared" ref="U3:U18" si="1">IFERROR( (K3 - B3) /B3, "" )</f>
        <v>-6.6632179311854991E-5</v>
      </c>
      <c r="V3" s="5">
        <f t="shared" si="0"/>
        <v>0</v>
      </c>
      <c r="W3" s="5">
        <f t="shared" si="0"/>
        <v>0</v>
      </c>
      <c r="X3" s="5">
        <f t="shared" si="0"/>
        <v>0</v>
      </c>
      <c r="Y3" s="5">
        <f t="shared" si="0"/>
        <v>0</v>
      </c>
      <c r="Z3" s="5">
        <f t="shared" si="0"/>
        <v>9.7068776177018003E-8</v>
      </c>
      <c r="AA3" s="5">
        <f t="shared" si="0"/>
        <v>2.3591473412990936E-5</v>
      </c>
    </row>
    <row r="4" spans="1:27" x14ac:dyDescent="0.3">
      <c r="A4">
        <v>3</v>
      </c>
      <c r="B4">
        <v>50000</v>
      </c>
      <c r="C4">
        <v>303</v>
      </c>
      <c r="D4">
        <v>3.5979999999999999</v>
      </c>
      <c r="E4">
        <v>0.20899999999999999</v>
      </c>
      <c r="F4">
        <v>0.79100000000000004</v>
      </c>
      <c r="G4">
        <v>113.2495</v>
      </c>
      <c r="H4">
        <v>-5.9909999999999997</v>
      </c>
      <c r="J4" t="s">
        <v>33</v>
      </c>
      <c r="K4">
        <v>49996.668391034407</v>
      </c>
      <c r="L4">
        <v>303</v>
      </c>
      <c r="M4">
        <v>3.5979999999999999</v>
      </c>
      <c r="N4">
        <v>0.20899999999999999</v>
      </c>
      <c r="O4">
        <v>0.79100000000000004</v>
      </c>
      <c r="P4">
        <v>113.249532</v>
      </c>
      <c r="Q4">
        <v>-5.9912238960000002</v>
      </c>
      <c r="T4">
        <v>3</v>
      </c>
      <c r="U4" s="5">
        <f t="shared" si="1"/>
        <v>-6.6632179311854991E-5</v>
      </c>
      <c r="V4" s="5">
        <f t="shared" si="0"/>
        <v>0</v>
      </c>
      <c r="W4" s="5">
        <f t="shared" si="0"/>
        <v>0</v>
      </c>
      <c r="X4" s="5">
        <f t="shared" si="0"/>
        <v>0</v>
      </c>
      <c r="Y4" s="5">
        <f t="shared" si="0"/>
        <v>0</v>
      </c>
      <c r="Z4" s="5">
        <f t="shared" si="0"/>
        <v>2.8256195395540727E-7</v>
      </c>
      <c r="AA4" s="5">
        <f t="shared" si="0"/>
        <v>3.7372058087214293E-5</v>
      </c>
    </row>
    <row r="5" spans="1:27" x14ac:dyDescent="0.3">
      <c r="A5">
        <v>4</v>
      </c>
      <c r="B5">
        <v>50000</v>
      </c>
      <c r="C5">
        <v>281</v>
      </c>
      <c r="D5">
        <v>3.4980000000000002</v>
      </c>
      <c r="E5">
        <v>0.20899999999999999</v>
      </c>
      <c r="F5">
        <v>0.79100000000000004</v>
      </c>
      <c r="G5">
        <v>-532.05100000000004</v>
      </c>
      <c r="H5">
        <v>-7.968</v>
      </c>
      <c r="J5" t="s">
        <v>34</v>
      </c>
      <c r="K5">
        <v>49996.668391034407</v>
      </c>
      <c r="L5">
        <v>281</v>
      </c>
      <c r="M5">
        <v>3.4980000000000002</v>
      </c>
      <c r="N5">
        <v>0.20899999999999999</v>
      </c>
      <c r="O5">
        <v>0.79100000000000004</v>
      </c>
      <c r="P5">
        <v>-532.05142430000001</v>
      </c>
      <c r="Q5">
        <v>-7.968352587</v>
      </c>
      <c r="T5">
        <v>4</v>
      </c>
      <c r="U5" s="5">
        <f t="shared" si="1"/>
        <v>-6.6632179311854991E-5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7.9747994076375326E-7</v>
      </c>
      <c r="AA5" s="5">
        <f t="shared" si="0"/>
        <v>4.4250376506032987E-5</v>
      </c>
    </row>
    <row r="6" spans="1:27" x14ac:dyDescent="0.3">
      <c r="A6">
        <v>5</v>
      </c>
      <c r="B6">
        <v>50000</v>
      </c>
      <c r="C6">
        <v>110.9</v>
      </c>
      <c r="D6">
        <v>3.3980000000000001</v>
      </c>
      <c r="E6">
        <v>0.20899999999999999</v>
      </c>
      <c r="F6">
        <v>0.79100000000000004</v>
      </c>
      <c r="G6">
        <v>-5592.88</v>
      </c>
      <c r="H6">
        <v>-35.494</v>
      </c>
      <c r="J6" t="s">
        <v>35</v>
      </c>
      <c r="K6">
        <v>49996.668391034407</v>
      </c>
      <c r="L6">
        <v>110.9</v>
      </c>
      <c r="M6">
        <v>3.3980000000000001</v>
      </c>
      <c r="N6">
        <v>0.20899999999999999</v>
      </c>
      <c r="O6">
        <v>0.79100000000000004</v>
      </c>
      <c r="P6">
        <v>-5592.8830049999997</v>
      </c>
      <c r="Q6">
        <v>-35.493914109999999</v>
      </c>
      <c r="T6">
        <v>5</v>
      </c>
      <c r="U6" s="5">
        <f t="shared" si="1"/>
        <v>-6.6632179311854991E-5</v>
      </c>
      <c r="V6" s="5">
        <f t="shared" si="0"/>
        <v>0</v>
      </c>
      <c r="W6" s="5">
        <f t="shared" si="0"/>
        <v>0</v>
      </c>
      <c r="X6" s="5">
        <f t="shared" si="0"/>
        <v>0</v>
      </c>
      <c r="Y6" s="5">
        <f t="shared" si="0"/>
        <v>0</v>
      </c>
      <c r="Z6" s="5">
        <f t="shared" si="0"/>
        <v>5.372902689804493E-7</v>
      </c>
      <c r="AA6" s="5">
        <f t="shared" si="0"/>
        <v>-2.4198456077405508E-6</v>
      </c>
    </row>
    <row r="7" spans="1:27" x14ac:dyDescent="0.3">
      <c r="A7">
        <v>6</v>
      </c>
      <c r="B7">
        <v>50000</v>
      </c>
      <c r="C7">
        <v>87</v>
      </c>
      <c r="D7">
        <v>1.3</v>
      </c>
      <c r="E7">
        <v>0.20899999999999999</v>
      </c>
      <c r="F7">
        <v>0.79100000000000004</v>
      </c>
      <c r="G7">
        <v>-6221.2</v>
      </c>
      <c r="H7">
        <v>-34.283999999999999</v>
      </c>
      <c r="J7" t="s">
        <v>36</v>
      </c>
      <c r="K7">
        <v>49996.668391034407</v>
      </c>
      <c r="L7">
        <v>87.21602978</v>
      </c>
      <c r="M7">
        <v>1.3</v>
      </c>
      <c r="N7">
        <v>0.20899999999999999</v>
      </c>
      <c r="O7">
        <v>0.79100000000000004</v>
      </c>
      <c r="P7">
        <v>-6214.663802</v>
      </c>
      <c r="Q7">
        <v>-34.208961960000003</v>
      </c>
      <c r="T7">
        <v>6</v>
      </c>
      <c r="U7" s="5">
        <f t="shared" si="1"/>
        <v>-6.6632179311854991E-5</v>
      </c>
      <c r="V7" s="5">
        <f t="shared" si="0"/>
        <v>2.4831009195402242E-3</v>
      </c>
      <c r="W7" s="5">
        <f t="shared" si="0"/>
        <v>0</v>
      </c>
      <c r="X7" s="5">
        <f t="shared" si="0"/>
        <v>0</v>
      </c>
      <c r="Y7" s="5">
        <f t="shared" si="0"/>
        <v>0</v>
      </c>
      <c r="Z7" s="5">
        <f t="shared" si="0"/>
        <v>-1.050632996849448E-3</v>
      </c>
      <c r="AA7" s="5">
        <f t="shared" si="0"/>
        <v>-2.1887189359466653E-3</v>
      </c>
    </row>
    <row r="8" spans="1:27" x14ac:dyDescent="0.3">
      <c r="A8">
        <v>7</v>
      </c>
      <c r="B8">
        <v>52000</v>
      </c>
      <c r="C8">
        <v>79.099999999999994</v>
      </c>
      <c r="D8">
        <v>1.2</v>
      </c>
      <c r="E8" s="3">
        <v>8.0000000000000004E-4</v>
      </c>
      <c r="F8">
        <v>0.99919999999999998</v>
      </c>
      <c r="G8">
        <v>-6452.75</v>
      </c>
      <c r="H8">
        <v>-40.661000000000001</v>
      </c>
      <c r="J8" t="s">
        <v>37</v>
      </c>
      <c r="K8">
        <v>52000.479964137608</v>
      </c>
      <c r="L8">
        <v>79.387953640000006</v>
      </c>
      <c r="M8">
        <v>1.24038</v>
      </c>
      <c r="N8" s="3">
        <v>1.183365E-3</v>
      </c>
      <c r="O8">
        <v>0.99881663499999995</v>
      </c>
      <c r="P8">
        <v>-6446.1334749999996</v>
      </c>
      <c r="Q8">
        <v>-40.824459640000001</v>
      </c>
      <c r="T8">
        <v>7</v>
      </c>
      <c r="U8" s="5">
        <f t="shared" si="1"/>
        <v>9.2300795693937778E-6</v>
      </c>
      <c r="V8" s="5">
        <f t="shared" si="0"/>
        <v>3.6403747155500888E-3</v>
      </c>
      <c r="W8" s="5">
        <f t="shared" si="0"/>
        <v>3.3650000000000069E-2</v>
      </c>
      <c r="X8" s="5">
        <f t="shared" si="0"/>
        <v>0.47920624999999994</v>
      </c>
      <c r="Y8" s="5">
        <f t="shared" si="0"/>
        <v>-3.8367193755006442E-4</v>
      </c>
      <c r="Z8" s="5">
        <f t="shared" si="0"/>
        <v>-1.0253806516602015E-3</v>
      </c>
      <c r="AA8" s="5">
        <f t="shared" si="0"/>
        <v>4.0200595164899839E-3</v>
      </c>
    </row>
    <row r="9" spans="1:27" x14ac:dyDescent="0.3">
      <c r="A9">
        <v>8</v>
      </c>
      <c r="B9">
        <v>52000</v>
      </c>
      <c r="C9">
        <v>93.3</v>
      </c>
      <c r="D9">
        <v>1.1499999999999999</v>
      </c>
      <c r="E9" s="3">
        <v>8.0000000000000004E-4</v>
      </c>
      <c r="F9">
        <v>0.99919999999999998</v>
      </c>
      <c r="G9">
        <v>-6020.73</v>
      </c>
      <c r="H9">
        <v>-35.302</v>
      </c>
      <c r="J9" t="s">
        <v>38</v>
      </c>
      <c r="K9">
        <v>52000.479964137608</v>
      </c>
      <c r="L9">
        <v>92.055402330000007</v>
      </c>
      <c r="M9">
        <v>1.191033836664199</v>
      </c>
      <c r="N9" s="3">
        <v>1.183365E-3</v>
      </c>
      <c r="O9">
        <v>0.99881663499999995</v>
      </c>
      <c r="P9">
        <v>-6060.208318</v>
      </c>
      <c r="Q9">
        <v>-35.988890870000013</v>
      </c>
      <c r="T9">
        <v>8</v>
      </c>
      <c r="U9" s="5">
        <f t="shared" si="1"/>
        <v>9.2300795693937778E-6</v>
      </c>
      <c r="V9" s="5">
        <f t="shared" si="0"/>
        <v>-1.3339739228295717E-2</v>
      </c>
      <c r="W9" s="5">
        <f t="shared" si="0"/>
        <v>3.5681597099303596E-2</v>
      </c>
      <c r="X9" s="5">
        <f t="shared" si="0"/>
        <v>0.47920624999999994</v>
      </c>
      <c r="Y9" s="5">
        <f t="shared" si="0"/>
        <v>-3.8367193755006442E-4</v>
      </c>
      <c r="Z9" s="5">
        <f t="shared" si="0"/>
        <v>6.5570650070673163E-3</v>
      </c>
      <c r="AA9" s="5">
        <f t="shared" si="0"/>
        <v>1.9457562461050744E-2</v>
      </c>
    </row>
    <row r="10" spans="1:27" x14ac:dyDescent="0.3">
      <c r="A10">
        <v>9</v>
      </c>
      <c r="B10">
        <v>52000</v>
      </c>
      <c r="C10">
        <v>279</v>
      </c>
      <c r="D10">
        <v>1.08</v>
      </c>
      <c r="E10" s="3">
        <v>8.0000000000000004E-4</v>
      </c>
      <c r="F10">
        <v>0.99919999999999998</v>
      </c>
      <c r="G10">
        <v>-567.24699999999996</v>
      </c>
      <c r="H10">
        <v>-2.5470000000000002</v>
      </c>
      <c r="J10" t="s">
        <v>39</v>
      </c>
      <c r="K10">
        <v>52000.479964137608</v>
      </c>
      <c r="L10">
        <v>279</v>
      </c>
      <c r="M10">
        <v>1.08</v>
      </c>
      <c r="N10" s="3">
        <v>1.183365E-3</v>
      </c>
      <c r="O10">
        <v>0.99881663499999995</v>
      </c>
      <c r="P10">
        <v>-567.24954960000002</v>
      </c>
      <c r="Q10">
        <v>-2.5253184809999998</v>
      </c>
      <c r="T10">
        <v>9</v>
      </c>
      <c r="U10" s="5">
        <f t="shared" si="1"/>
        <v>9.2300795693937778E-6</v>
      </c>
      <c r="V10" s="5">
        <f t="shared" si="0"/>
        <v>0</v>
      </c>
      <c r="W10" s="5">
        <f t="shared" si="0"/>
        <v>0</v>
      </c>
      <c r="X10" s="5">
        <f t="shared" si="0"/>
        <v>0.47920624999999994</v>
      </c>
      <c r="Y10" s="5">
        <f t="shared" si="0"/>
        <v>-3.8367193755006442E-4</v>
      </c>
      <c r="Z10" s="5">
        <f t="shared" si="0"/>
        <v>4.4946910253659626E-6</v>
      </c>
      <c r="AA10" s="5">
        <f t="shared" si="0"/>
        <v>-8.5125712603063876E-3</v>
      </c>
    </row>
    <row r="11" spans="1:27" x14ac:dyDescent="0.3">
      <c r="A11">
        <v>10</v>
      </c>
      <c r="B11">
        <v>32000</v>
      </c>
      <c r="C11">
        <v>279</v>
      </c>
      <c r="D11">
        <v>1.08</v>
      </c>
      <c r="E11" s="3">
        <v>8.0000000000000004E-4</v>
      </c>
      <c r="F11">
        <v>0.99919999999999998</v>
      </c>
      <c r="G11">
        <v>-567.24699999999996</v>
      </c>
      <c r="H11">
        <v>-2.5470000000000002</v>
      </c>
      <c r="J11" t="s">
        <v>40</v>
      </c>
      <c r="K11">
        <v>32001.095383034401</v>
      </c>
      <c r="L11">
        <v>279</v>
      </c>
      <c r="M11">
        <v>1.08</v>
      </c>
      <c r="N11" s="3">
        <v>1.183365E-3</v>
      </c>
      <c r="O11">
        <v>0.99881663499999995</v>
      </c>
      <c r="P11">
        <v>-567.24954960000002</v>
      </c>
      <c r="Q11">
        <v>-2.5253184809999998</v>
      </c>
      <c r="T11">
        <v>10</v>
      </c>
      <c r="U11" s="5">
        <f t="shared" si="1"/>
        <v>3.4230719825018238E-5</v>
      </c>
      <c r="V11" s="5">
        <f t="shared" si="0"/>
        <v>0</v>
      </c>
      <c r="W11" s="5">
        <f t="shared" si="0"/>
        <v>0</v>
      </c>
      <c r="X11" s="5">
        <f t="shared" si="0"/>
        <v>0.47920624999999994</v>
      </c>
      <c r="Y11" s="5">
        <f t="shared" si="0"/>
        <v>-3.8367193755006442E-4</v>
      </c>
      <c r="Z11" s="5">
        <f t="shared" si="0"/>
        <v>4.4946910253659626E-6</v>
      </c>
      <c r="AA11" s="5">
        <f t="shared" si="0"/>
        <v>-8.5125712603063876E-3</v>
      </c>
    </row>
    <row r="12" spans="1:27" x14ac:dyDescent="0.3">
      <c r="A12">
        <v>11</v>
      </c>
      <c r="B12">
        <v>20000</v>
      </c>
      <c r="C12">
        <v>279</v>
      </c>
      <c r="D12">
        <v>1.08</v>
      </c>
      <c r="E12" s="3">
        <v>8.0000000000000004E-4</v>
      </c>
      <c r="F12">
        <v>0.99919999999999998</v>
      </c>
      <c r="G12">
        <v>-567.24699999999996</v>
      </c>
      <c r="H12">
        <v>-2.5470000000000002</v>
      </c>
      <c r="J12" t="s">
        <v>41</v>
      </c>
      <c r="K12">
        <v>19999.384581103201</v>
      </c>
      <c r="L12">
        <v>279</v>
      </c>
      <c r="M12">
        <v>1.08</v>
      </c>
      <c r="N12" s="3">
        <v>1.183365E-3</v>
      </c>
      <c r="O12">
        <v>0.99881663499999995</v>
      </c>
      <c r="P12">
        <v>-567.24954960000002</v>
      </c>
      <c r="Q12">
        <v>-2.5253184809999998</v>
      </c>
      <c r="T12">
        <v>11</v>
      </c>
      <c r="U12" s="5">
        <f t="shared" si="1"/>
        <v>-3.0770944839969161E-5</v>
      </c>
      <c r="V12" s="5">
        <f t="shared" si="0"/>
        <v>0</v>
      </c>
      <c r="W12" s="5">
        <f t="shared" si="0"/>
        <v>0</v>
      </c>
      <c r="X12" s="5">
        <f t="shared" si="0"/>
        <v>0.47920624999999994</v>
      </c>
      <c r="Y12" s="5">
        <f t="shared" si="0"/>
        <v>-3.8367193755006442E-4</v>
      </c>
      <c r="Z12" s="5">
        <f t="shared" si="0"/>
        <v>4.4946910253659626E-6</v>
      </c>
      <c r="AA12" s="5">
        <f t="shared" si="0"/>
        <v>-8.5125712603063876E-3</v>
      </c>
    </row>
    <row r="13" spans="1:27" x14ac:dyDescent="0.3">
      <c r="A13">
        <v>12</v>
      </c>
      <c r="B13">
        <v>32000</v>
      </c>
      <c r="C13">
        <v>303</v>
      </c>
      <c r="D13">
        <v>5.5</v>
      </c>
      <c r="E13" s="3">
        <v>8.0000000000000004E-4</v>
      </c>
      <c r="F13">
        <v>0.99919999999999998</v>
      </c>
      <c r="G13">
        <v>100.50279999999999</v>
      </c>
      <c r="H13">
        <v>-13.766999999999999</v>
      </c>
      <c r="J13" t="s">
        <v>42</v>
      </c>
      <c r="K13">
        <v>32001.095383034401</v>
      </c>
      <c r="L13">
        <v>303</v>
      </c>
      <c r="M13">
        <v>5.5</v>
      </c>
      <c r="N13" s="3">
        <v>1.183365E-3</v>
      </c>
      <c r="O13">
        <v>0.99881663499999995</v>
      </c>
      <c r="P13">
        <v>100.4986196</v>
      </c>
      <c r="Q13">
        <v>-13.74499907</v>
      </c>
      <c r="T13">
        <v>12</v>
      </c>
      <c r="U13" s="5">
        <f t="shared" si="1"/>
        <v>3.4230719825018238E-5</v>
      </c>
      <c r="V13" s="5">
        <f t="shared" si="0"/>
        <v>0</v>
      </c>
      <c r="W13" s="5">
        <f t="shared" si="0"/>
        <v>0</v>
      </c>
      <c r="X13" s="5">
        <f t="shared" si="0"/>
        <v>0.47920624999999994</v>
      </c>
      <c r="Y13" s="5">
        <f t="shared" si="0"/>
        <v>-3.8367193755006442E-4</v>
      </c>
      <c r="Z13" s="5">
        <f t="shared" si="0"/>
        <v>-4.1594861038654081E-5</v>
      </c>
      <c r="AA13" s="5">
        <f t="shared" si="0"/>
        <v>-1.5980918137574658E-3</v>
      </c>
    </row>
    <row r="14" spans="1:27" x14ac:dyDescent="0.3">
      <c r="A14">
        <v>13</v>
      </c>
      <c r="B14">
        <v>32000</v>
      </c>
      <c r="C14">
        <v>95.3</v>
      </c>
      <c r="D14">
        <v>5.4</v>
      </c>
      <c r="E14" s="3">
        <v>8.0000000000000004E-4</v>
      </c>
      <c r="F14">
        <v>0.99919999999999998</v>
      </c>
      <c r="G14">
        <v>-6196.66</v>
      </c>
      <c r="H14">
        <v>-49.11</v>
      </c>
      <c r="J14" t="s">
        <v>43</v>
      </c>
      <c r="K14">
        <v>32001.095383034401</v>
      </c>
      <c r="L14">
        <v>95.41777261</v>
      </c>
      <c r="M14">
        <v>5.4506538366641992</v>
      </c>
      <c r="N14" s="3">
        <v>1.183365E-3</v>
      </c>
      <c r="O14">
        <v>0.99881663499999995</v>
      </c>
      <c r="P14">
        <v>-7356.9173639999999</v>
      </c>
      <c r="Q14">
        <v>-61.313835349999998</v>
      </c>
      <c r="T14">
        <v>13</v>
      </c>
      <c r="U14" s="5">
        <f t="shared" si="1"/>
        <v>3.4230719825018238E-5</v>
      </c>
      <c r="V14" s="5">
        <f t="shared" si="0"/>
        <v>1.235809129066138E-3</v>
      </c>
      <c r="W14" s="5">
        <f t="shared" si="0"/>
        <v>9.3803401229997901E-3</v>
      </c>
      <c r="X14" s="5">
        <f t="shared" si="0"/>
        <v>0.47920624999999994</v>
      </c>
      <c r="Y14" s="5">
        <f t="shared" si="0"/>
        <v>-3.8367193755006442E-4</v>
      </c>
      <c r="Z14" s="5">
        <f t="shared" si="0"/>
        <v>0.1872391520593352</v>
      </c>
      <c r="AA14" s="5">
        <f t="shared" si="0"/>
        <v>0.24850000712685805</v>
      </c>
    </row>
    <row r="15" spans="1:27" x14ac:dyDescent="0.3">
      <c r="A15">
        <v>14</v>
      </c>
      <c r="B15">
        <v>32000</v>
      </c>
      <c r="C15">
        <v>95.3</v>
      </c>
      <c r="D15">
        <v>5.4</v>
      </c>
      <c r="E15" s="3">
        <v>8.0000000000000004E-4</v>
      </c>
      <c r="F15">
        <v>0.99919999999999998</v>
      </c>
      <c r="G15">
        <v>-11029.1</v>
      </c>
      <c r="H15">
        <v>-134.72999999999999</v>
      </c>
      <c r="J15" t="s">
        <v>44</v>
      </c>
      <c r="K15">
        <v>32001.095383034401</v>
      </c>
      <c r="L15">
        <v>95.409213109999996</v>
      </c>
      <c r="M15">
        <v>5.4506538366641992</v>
      </c>
      <c r="N15" s="3">
        <v>1.183365E-3</v>
      </c>
      <c r="O15">
        <v>0.99881663499999995</v>
      </c>
      <c r="P15">
        <v>-11022.78456</v>
      </c>
      <c r="Q15">
        <v>-99.735031550000002</v>
      </c>
      <c r="T15">
        <v>14</v>
      </c>
      <c r="U15" s="5">
        <f t="shared" si="1"/>
        <v>3.4230719825018238E-5</v>
      </c>
      <c r="V15" s="5">
        <f t="shared" si="0"/>
        <v>1.1459927597061794E-3</v>
      </c>
      <c r="W15" s="5">
        <f t="shared" si="0"/>
        <v>9.3803401229997901E-3</v>
      </c>
      <c r="X15" s="5">
        <f t="shared" si="0"/>
        <v>0.47920624999999994</v>
      </c>
      <c r="Y15" s="5">
        <f t="shared" si="0"/>
        <v>-3.8367193755006442E-4</v>
      </c>
      <c r="Z15" s="5">
        <f t="shared" si="0"/>
        <v>-5.7261607928120223E-4</v>
      </c>
      <c r="AA15" s="5">
        <f t="shared" si="0"/>
        <v>-0.25974147146144133</v>
      </c>
    </row>
    <row r="16" spans="1:27" x14ac:dyDescent="0.3">
      <c r="A16">
        <v>15</v>
      </c>
      <c r="B16">
        <v>32000</v>
      </c>
      <c r="C16">
        <v>81</v>
      </c>
      <c r="D16">
        <v>5.3</v>
      </c>
      <c r="E16" s="3">
        <v>8.0000000000000004E-4</v>
      </c>
      <c r="F16">
        <v>0.99919999999999998</v>
      </c>
      <c r="G16">
        <v>-11876.3</v>
      </c>
      <c r="H16">
        <v>-109.44</v>
      </c>
      <c r="J16" t="s">
        <v>45</v>
      </c>
      <c r="K16">
        <v>32001.095383034401</v>
      </c>
      <c r="L16">
        <v>81</v>
      </c>
      <c r="M16">
        <v>5.3519615099925977</v>
      </c>
      <c r="N16" s="3">
        <v>1.183365E-3</v>
      </c>
      <c r="O16">
        <v>0.99881663499999995</v>
      </c>
      <c r="P16">
        <v>-11876.77188</v>
      </c>
      <c r="Q16">
        <v>-109.4170352</v>
      </c>
      <c r="T16">
        <v>15</v>
      </c>
      <c r="U16" s="5">
        <f t="shared" si="1"/>
        <v>3.4230719825018238E-5</v>
      </c>
      <c r="V16" s="5">
        <f t="shared" si="0"/>
        <v>0</v>
      </c>
      <c r="W16" s="5">
        <f t="shared" si="0"/>
        <v>9.8040584891694073E-3</v>
      </c>
      <c r="X16" s="5">
        <f t="shared" si="0"/>
        <v>0.47920624999999994</v>
      </c>
      <c r="Y16" s="5">
        <f t="shared" si="0"/>
        <v>-3.8367193755006442E-4</v>
      </c>
      <c r="Z16" s="5">
        <f t="shared" si="0"/>
        <v>3.9732913449556268E-5</v>
      </c>
      <c r="AA16" s="5">
        <f t="shared" si="0"/>
        <v>-2.0983918128652138E-4</v>
      </c>
    </row>
    <row r="17" spans="1:27" x14ac:dyDescent="0.3">
      <c r="A17">
        <v>16</v>
      </c>
      <c r="B17">
        <v>32000</v>
      </c>
      <c r="C17">
        <v>79.069999999999993</v>
      </c>
      <c r="D17">
        <v>1.2</v>
      </c>
      <c r="E17" s="3">
        <v>8.0000000000000004E-4</v>
      </c>
      <c r="F17">
        <v>0.99919999999999998</v>
      </c>
      <c r="G17">
        <v>-11876.1</v>
      </c>
      <c r="H17">
        <v>-110.69</v>
      </c>
      <c r="J17" t="s">
        <v>46</v>
      </c>
      <c r="K17">
        <v>32001.095383034401</v>
      </c>
      <c r="L17">
        <v>79.437431680000003</v>
      </c>
      <c r="M17">
        <v>1.25</v>
      </c>
      <c r="N17" s="3">
        <v>1.183365E-3</v>
      </c>
      <c r="O17">
        <v>0.99881663499999995</v>
      </c>
      <c r="P17">
        <v>-11876.77188</v>
      </c>
      <c r="Q17">
        <v>-109.2440374</v>
      </c>
      <c r="T17">
        <v>16</v>
      </c>
      <c r="U17" s="5">
        <f t="shared" si="1"/>
        <v>3.4230719825018238E-5</v>
      </c>
      <c r="V17" s="5">
        <f t="shared" si="0"/>
        <v>4.6469164031871756E-3</v>
      </c>
      <c r="W17" s="5">
        <f t="shared" si="0"/>
        <v>4.1666666666666706E-2</v>
      </c>
      <c r="X17" s="5">
        <f t="shared" si="0"/>
        <v>0.47920624999999994</v>
      </c>
      <c r="Y17" s="5">
        <f t="shared" si="0"/>
        <v>-3.8367193755006442E-4</v>
      </c>
      <c r="Z17" s="5">
        <f t="shared" si="0"/>
        <v>5.65741278702498E-5</v>
      </c>
      <c r="AA17" s="5">
        <f t="shared" si="0"/>
        <v>-1.3063172825006788E-2</v>
      </c>
    </row>
    <row r="18" spans="1:27" x14ac:dyDescent="0.3">
      <c r="A18">
        <v>17</v>
      </c>
      <c r="B18">
        <v>20000</v>
      </c>
      <c r="C18">
        <v>79.64</v>
      </c>
      <c r="D18">
        <v>1.21</v>
      </c>
      <c r="E18" s="3">
        <v>2.1700000000000001E-2</v>
      </c>
      <c r="F18">
        <v>0.97829999999999995</v>
      </c>
      <c r="G18">
        <v>-6436.76</v>
      </c>
      <c r="H18">
        <v>-39.713000000000001</v>
      </c>
      <c r="J18" t="s">
        <v>47</v>
      </c>
      <c r="K18">
        <v>19997.770773103199</v>
      </c>
      <c r="L18">
        <v>80.144147669999995</v>
      </c>
      <c r="M18">
        <v>1.2529315785837649</v>
      </c>
      <c r="N18" s="3">
        <v>3.0365073999999999E-2</v>
      </c>
      <c r="O18">
        <v>0.96963492600000001</v>
      </c>
      <c r="P18">
        <v>-6424.2824330000003</v>
      </c>
      <c r="Q18">
        <v>-39.572265489999999</v>
      </c>
      <c r="T18">
        <v>17</v>
      </c>
      <c r="U18" s="5">
        <f t="shared" si="1"/>
        <v>-1.1146134484006325E-4</v>
      </c>
      <c r="V18" s="5">
        <f t="shared" ref="V18" si="2">IFERROR( (L18 - C18) /C18, "" )</f>
        <v>6.3303323706679401E-3</v>
      </c>
      <c r="W18" s="5">
        <f t="shared" ref="W18" si="3">IFERROR( (M18 - D18) /D18, "" )</f>
        <v>3.5480643457656988E-2</v>
      </c>
      <c r="X18" s="5">
        <f t="shared" ref="X18" si="4">IFERROR( (N18 - E18) /E18, "" )</f>
        <v>0.3993121658986174</v>
      </c>
      <c r="Y18" s="5">
        <f t="shared" ref="Y18" si="5">IFERROR( (O18 - F18) /F18, "" )</f>
        <v>-8.8572769089235812E-3</v>
      </c>
      <c r="Z18" s="5">
        <f t="shared" ref="Z18" si="6">IFERROR( (P18 - G18) /G18, "" )</f>
        <v>-1.9384856667018667E-3</v>
      </c>
      <c r="AA18" s="5">
        <f t="shared" ref="AA18" si="7">IFERROR( (Q18 - H18) /H18, "" )</f>
        <v>-3.5437894392264871E-3</v>
      </c>
    </row>
    <row r="19" spans="1:27" x14ac:dyDescent="0.3">
      <c r="A19">
        <v>18</v>
      </c>
      <c r="B19">
        <v>20000</v>
      </c>
      <c r="C19">
        <v>95.3</v>
      </c>
      <c r="D19">
        <v>1.1499999999999999</v>
      </c>
      <c r="E19" s="3">
        <v>2.1700000000000001E-2</v>
      </c>
      <c r="F19">
        <v>0.97829999999999995</v>
      </c>
      <c r="G19">
        <v>-5961.09</v>
      </c>
      <c r="H19">
        <v>-33.851999999999997</v>
      </c>
      <c r="J19" t="s">
        <v>48</v>
      </c>
      <c r="K19">
        <v>19997.770773103199</v>
      </c>
      <c r="L19">
        <v>92.055402330000007</v>
      </c>
      <c r="M19">
        <v>1.2035854152479639</v>
      </c>
      <c r="N19" s="3">
        <v>3.0365073999999999E-2</v>
      </c>
      <c r="O19">
        <v>0.96963492600000001</v>
      </c>
      <c r="P19">
        <v>-6061.2301539999999</v>
      </c>
      <c r="Q19">
        <v>-35.027090110000003</v>
      </c>
      <c r="T19">
        <v>18</v>
      </c>
      <c r="U19" s="5">
        <f t="shared" ref="U19:U23" si="8">IFERROR( (K19 - B19) /B19, "" )</f>
        <v>-1.1146134484006325E-4</v>
      </c>
      <c r="V19" s="5">
        <f t="shared" ref="V19:V23" si="9">IFERROR( (L19 - C19) /C19, "" )</f>
        <v>-3.4046145540398642E-2</v>
      </c>
      <c r="W19" s="5">
        <f t="shared" ref="W19:W23" si="10">IFERROR( (M19 - D19) /D19, "" )</f>
        <v>4.6596013259099144E-2</v>
      </c>
      <c r="X19" s="5">
        <f t="shared" ref="X19:X23" si="11">IFERROR( (N19 - E19) /E19, "" )</f>
        <v>0.3993121658986174</v>
      </c>
      <c r="Y19" s="5">
        <f t="shared" ref="Y19:Y23" si="12">IFERROR( (O19 - F19) /F19, "" )</f>
        <v>-8.8572769089235812E-3</v>
      </c>
      <c r="Z19" s="5">
        <f t="shared" ref="Z19:Z23" si="13">IFERROR( (P19 - G19) /G19, "" )</f>
        <v>1.6798966967450535E-2</v>
      </c>
      <c r="AA19" s="5">
        <f t="shared" ref="AA19:AA23" si="14">IFERROR( (Q19 - H19) /H19, "" )</f>
        <v>3.4712575623301621E-2</v>
      </c>
    </row>
    <row r="20" spans="1:27" x14ac:dyDescent="0.3">
      <c r="A20">
        <v>19</v>
      </c>
      <c r="B20">
        <v>20000</v>
      </c>
      <c r="C20">
        <v>279</v>
      </c>
      <c r="D20">
        <v>1.1000000000000001</v>
      </c>
      <c r="E20" s="3">
        <v>2.1700000000000001E-2</v>
      </c>
      <c r="F20">
        <v>0.97829999999999995</v>
      </c>
      <c r="G20">
        <v>-567.54600000000005</v>
      </c>
      <c r="H20">
        <v>-1.885</v>
      </c>
      <c r="J20" t="s">
        <v>49</v>
      </c>
      <c r="K20">
        <v>19997.770773103199</v>
      </c>
      <c r="L20">
        <v>279</v>
      </c>
      <c r="M20">
        <v>1.154239251912164</v>
      </c>
      <c r="N20" s="3">
        <v>3.0365073999999999E-2</v>
      </c>
      <c r="O20">
        <v>0.96963492600000001</v>
      </c>
      <c r="P20">
        <v>-568.07944220000002</v>
      </c>
      <c r="Q20">
        <v>-2.0257669200000001</v>
      </c>
      <c r="T20">
        <v>19</v>
      </c>
      <c r="U20" s="5">
        <f t="shared" si="8"/>
        <v>-1.1146134484006325E-4</v>
      </c>
      <c r="V20" s="5">
        <f t="shared" si="9"/>
        <v>0</v>
      </c>
      <c r="W20" s="5">
        <f t="shared" si="10"/>
        <v>4.9308410829239945E-2</v>
      </c>
      <c r="X20" s="5">
        <f t="shared" si="11"/>
        <v>0.3993121658986174</v>
      </c>
      <c r="Y20" s="5">
        <f t="shared" si="12"/>
        <v>-8.8572769089235812E-3</v>
      </c>
      <c r="Z20" s="5">
        <f t="shared" si="13"/>
        <v>9.3991006896351596E-4</v>
      </c>
      <c r="AA20" s="5">
        <f t="shared" si="14"/>
        <v>7.4677411140583627E-2</v>
      </c>
    </row>
    <row r="21" spans="1:27" x14ac:dyDescent="0.3">
      <c r="A21">
        <v>20</v>
      </c>
      <c r="B21">
        <v>2083</v>
      </c>
      <c r="C21">
        <v>92.57</v>
      </c>
      <c r="D21">
        <v>1.3</v>
      </c>
      <c r="E21">
        <v>1</v>
      </c>
      <c r="F21">
        <v>0</v>
      </c>
      <c r="G21">
        <v>-12745.4</v>
      </c>
      <c r="H21">
        <v>-139.6</v>
      </c>
      <c r="J21" s="6">
        <v>20</v>
      </c>
      <c r="K21">
        <v>2084.9984611343998</v>
      </c>
      <c r="L21">
        <v>92.361862160000001</v>
      </c>
      <c r="M21">
        <v>1.33908</v>
      </c>
      <c r="N21">
        <v>0.98188815200000001</v>
      </c>
      <c r="O21">
        <v>1.8111848E-2</v>
      </c>
      <c r="P21">
        <v>-12727.1013</v>
      </c>
      <c r="Q21">
        <v>-108.1520184</v>
      </c>
      <c r="T21">
        <v>20</v>
      </c>
      <c r="U21" s="5">
        <f t="shared" si="8"/>
        <v>9.5941485088804797E-4</v>
      </c>
      <c r="V21" s="5">
        <f t="shared" si="9"/>
        <v>-2.2484372906988446E-3</v>
      </c>
      <c r="W21" s="5">
        <f t="shared" si="10"/>
        <v>3.0061538461538462E-2</v>
      </c>
      <c r="X21" s="5">
        <f t="shared" si="11"/>
        <v>-1.8111847999999986E-2</v>
      </c>
      <c r="Y21" s="5" t="str">
        <f t="shared" si="12"/>
        <v/>
      </c>
      <c r="Z21" s="5">
        <f t="shared" si="13"/>
        <v>-1.4357101385597448E-3</v>
      </c>
      <c r="AA21" s="5">
        <f t="shared" si="14"/>
        <v>-0.22527207449856729</v>
      </c>
    </row>
    <row r="22" spans="1:27" x14ac:dyDescent="0.3">
      <c r="A22">
        <v>21</v>
      </c>
      <c r="B22">
        <v>7907</v>
      </c>
      <c r="C22">
        <v>92.57</v>
      </c>
      <c r="D22">
        <v>1.3</v>
      </c>
      <c r="E22">
        <v>1</v>
      </c>
      <c r="F22">
        <v>0</v>
      </c>
      <c r="G22">
        <v>-6061.52</v>
      </c>
      <c r="H22">
        <v>-36.698</v>
      </c>
      <c r="J22" t="s">
        <v>51</v>
      </c>
      <c r="K22">
        <v>7914.5145756936008</v>
      </c>
      <c r="L22">
        <v>92.361862160000001</v>
      </c>
      <c r="M22">
        <v>1.33908</v>
      </c>
      <c r="N22">
        <v>0.98188815200000001</v>
      </c>
      <c r="O22">
        <v>1.8111848E-2</v>
      </c>
      <c r="P22">
        <v>-12727.1013</v>
      </c>
      <c r="Q22">
        <v>-108.1520184</v>
      </c>
      <c r="T22">
        <v>21</v>
      </c>
      <c r="U22" s="5">
        <f t="shared" si="8"/>
        <v>9.5037001310241788E-4</v>
      </c>
      <c r="V22" s="5">
        <f t="shared" si="9"/>
        <v>-2.2484372906988446E-3</v>
      </c>
      <c r="W22" s="5">
        <f t="shared" si="10"/>
        <v>3.0061538461538462E-2</v>
      </c>
      <c r="X22" s="5">
        <f t="shared" si="11"/>
        <v>-1.8111847999999986E-2</v>
      </c>
      <c r="Y22" s="5" t="str">
        <f t="shared" si="12"/>
        <v/>
      </c>
      <c r="Z22" s="5">
        <f t="shared" si="13"/>
        <v>1.0996550865129537</v>
      </c>
      <c r="AA22" s="5">
        <f t="shared" si="14"/>
        <v>1.9470820862172324</v>
      </c>
    </row>
    <row r="23" spans="1:27" x14ac:dyDescent="0.3">
      <c r="A23">
        <v>22</v>
      </c>
      <c r="B23">
        <v>7907</v>
      </c>
      <c r="C23">
        <v>279</v>
      </c>
      <c r="D23">
        <v>1.2</v>
      </c>
      <c r="E23">
        <v>1</v>
      </c>
      <c r="F23">
        <v>0</v>
      </c>
      <c r="G23">
        <v>-574.04100000000005</v>
      </c>
      <c r="H23">
        <v>-3.4950000000000001</v>
      </c>
      <c r="J23" t="s">
        <v>52</v>
      </c>
      <c r="K23">
        <v>7914.5145756936008</v>
      </c>
      <c r="L23">
        <v>279</v>
      </c>
      <c r="M23">
        <v>1.2403876733283989</v>
      </c>
      <c r="N23">
        <v>0.98188815200000001</v>
      </c>
      <c r="O23">
        <v>1.8111848E-2</v>
      </c>
      <c r="P23">
        <v>-574.37397479999993</v>
      </c>
      <c r="Q23">
        <v>-3.0180018670000002</v>
      </c>
      <c r="T23">
        <v>22</v>
      </c>
      <c r="U23" s="5">
        <f t="shared" si="8"/>
        <v>9.5037001310241788E-4</v>
      </c>
      <c r="V23" s="5">
        <f t="shared" si="9"/>
        <v>0</v>
      </c>
      <c r="W23" s="5">
        <f t="shared" si="10"/>
        <v>3.3656394440332492E-2</v>
      </c>
      <c r="X23" s="5">
        <f t="shared" si="11"/>
        <v>-1.8111847999999986E-2</v>
      </c>
      <c r="Y23" s="5" t="str">
        <f t="shared" si="12"/>
        <v/>
      </c>
      <c r="Z23" s="5">
        <f t="shared" si="13"/>
        <v>5.800540379517742E-4</v>
      </c>
      <c r="AA23" s="5">
        <f t="shared" si="14"/>
        <v>-0.13648015250357651</v>
      </c>
    </row>
    <row r="24" spans="1:27" x14ac:dyDescent="0.3">
      <c r="J24" t="s">
        <v>17</v>
      </c>
      <c r="K24">
        <v>49996.668391034407</v>
      </c>
      <c r="L24">
        <v>437.97501999999997</v>
      </c>
      <c r="M24">
        <v>2.93</v>
      </c>
      <c r="N24">
        <v>0.20899999999999999</v>
      </c>
      <c r="O24">
        <v>0.79100000000000004</v>
      </c>
      <c r="P24">
        <v>4093.1180760000002</v>
      </c>
      <c r="Q24">
        <v>6.576667423</v>
      </c>
      <c r="T24" s="4" t="str">
        <f>IFERROR( (#REF! - B24) / B24, "" )</f>
        <v/>
      </c>
      <c r="U24" s="5" t="str">
        <f>IFERROR( (#REF! - B24) /B24, "" )</f>
        <v/>
      </c>
      <c r="Z24" s="5" t="str">
        <f>IFERROR( (#REF! - G24) /G24, "" )</f>
        <v/>
      </c>
    </row>
    <row r="25" spans="1:27" x14ac:dyDescent="0.3">
      <c r="J25" t="s">
        <v>18</v>
      </c>
      <c r="K25">
        <v>49996.668391034407</v>
      </c>
      <c r="L25">
        <v>328.63181680000002</v>
      </c>
      <c r="M25">
        <v>3.5979999999999999</v>
      </c>
      <c r="N25">
        <v>0.20899999999999999</v>
      </c>
      <c r="O25">
        <v>0.79100000000000004</v>
      </c>
      <c r="P25">
        <v>866.17857590000006</v>
      </c>
      <c r="Q25">
        <v>-3.6058447760000001</v>
      </c>
      <c r="T25" s="4" t="str">
        <f>IFERROR( (#REF! - B25) / B25, "" )</f>
        <v/>
      </c>
    </row>
    <row r="26" spans="1:27" x14ac:dyDescent="0.3">
      <c r="J26" t="s">
        <v>53</v>
      </c>
      <c r="K26">
        <v>32001.095383034401</v>
      </c>
      <c r="L26">
        <v>529.82501230000003</v>
      </c>
      <c r="M26">
        <v>5.5</v>
      </c>
      <c r="N26">
        <v>1.183365E-3</v>
      </c>
      <c r="O26">
        <v>0.99881663499999995</v>
      </c>
      <c r="P26">
        <v>6789.6547419999997</v>
      </c>
      <c r="Q26">
        <v>2.7252147789999999</v>
      </c>
      <c r="T26" s="4" t="str">
        <f>IFERROR( (#REF! - B26) / B26, "" )</f>
        <v/>
      </c>
    </row>
    <row r="28" spans="1:27" x14ac:dyDescent="0.3">
      <c r="J28" t="s">
        <v>50</v>
      </c>
      <c r="K28">
        <v>9999.5129561375998</v>
      </c>
      <c r="L28">
        <v>92.361862160000001</v>
      </c>
      <c r="M28">
        <v>1.33908</v>
      </c>
      <c r="N28">
        <v>0.98188815200000001</v>
      </c>
      <c r="O28">
        <v>1.8111848E-2</v>
      </c>
      <c r="P28">
        <v>-12727.1013</v>
      </c>
      <c r="Q28">
        <v>-108.1520184</v>
      </c>
    </row>
    <row r="29" spans="1:27" x14ac:dyDescent="0.3">
      <c r="J29" t="s">
        <v>16</v>
      </c>
      <c r="K29">
        <v>2084.9984611343998</v>
      </c>
      <c r="L29">
        <v>92.361862160000001</v>
      </c>
      <c r="M29">
        <v>1.33908</v>
      </c>
      <c r="N29">
        <v>0.98188815200000001</v>
      </c>
      <c r="O29">
        <v>1.8111848E-2</v>
      </c>
      <c r="P29">
        <v>-12727.1013</v>
      </c>
      <c r="Q29">
        <v>-108.1520184</v>
      </c>
    </row>
  </sheetData>
  <conditionalFormatting sqref="U2:AA23">
    <cfRule type="cellIs" dxfId="1" priority="1" operator="lessThan">
      <formula>-0.05</formula>
    </cfRule>
    <cfRule type="cellIs" dxfId="0" priority="2" operator="greaterThan">
      <formula>0.05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Ergebnisse</vt:lpstr>
      <vt:lpstr>Tabelle2</vt:lpstr>
      <vt:lpstr>Vergleich mit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0374871412442745</dc:creator>
  <cp:lastModifiedBy>TU-Pseudonym 0374871412442745</cp:lastModifiedBy>
  <dcterms:created xsi:type="dcterms:W3CDTF">2025-08-20T12:07:50Z</dcterms:created>
  <dcterms:modified xsi:type="dcterms:W3CDTF">2025-08-27T08:25:12Z</dcterms:modified>
</cp:coreProperties>
</file>